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\Downloads\"/>
    </mc:Choice>
  </mc:AlternateContent>
  <xr:revisionPtr revIDLastSave="0" documentId="8_{80F4DBF6-BC8F-4951-9A82-C8C7BD309A54}" xr6:coauthVersionLast="47" xr6:coauthVersionMax="47" xr10:uidLastSave="{00000000-0000-0000-0000-000000000000}"/>
  <bookViews>
    <workbookView xWindow="19090" yWindow="-760" windowWidth="19420" windowHeight="10300" firstSheet="1" activeTab="4" xr2:uid="{D7CE6D23-E2F8-4915-830E-B22B06EF00B9}"/>
  </bookViews>
  <sheets>
    <sheet name="Raw_Data" sheetId="1" r:id="rId1"/>
    <sheet name="Budget_Register" sheetId="2" r:id="rId2"/>
    <sheet name="Monthly_summary" sheetId="3" r:id="rId3"/>
    <sheet name="Executive_Summary" sheetId="4" r:id="rId4"/>
    <sheet name="SCurve_Char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 a="1"/>
  <c r="D3" i="5" s="1"/>
  <c r="D4" i="5" a="1"/>
  <c r="D4" i="5" s="1"/>
  <c r="D5" i="5" a="1"/>
  <c r="D5" i="5"/>
  <c r="D6" i="5" a="1"/>
  <c r="D6" i="5"/>
  <c r="E6" i="5" s="1"/>
  <c r="D7" i="5" a="1"/>
  <c r="D7" i="5"/>
  <c r="D8" i="5" a="1"/>
  <c r="D8" i="5"/>
  <c r="D9" i="5" a="1"/>
  <c r="D9" i="5" s="1"/>
  <c r="D10" i="5" a="1"/>
  <c r="D10" i="5"/>
  <c r="D11" i="5" a="1"/>
  <c r="D11" i="5" s="1"/>
  <c r="D12" i="5" a="1"/>
  <c r="D12" i="5" s="1"/>
  <c r="D13" i="5" a="1"/>
  <c r="D13" i="5" s="1"/>
  <c r="D2" i="5" a="1"/>
  <c r="D2" i="5" s="1"/>
  <c r="C3" i="5" a="1"/>
  <c r="C3" i="5" s="1"/>
  <c r="C4" i="5" a="1"/>
  <c r="C4" i="5"/>
  <c r="C5" i="5" a="1"/>
  <c r="C5" i="5"/>
  <c r="C6" i="5" a="1"/>
  <c r="C6" i="5"/>
  <c r="C7" i="5" a="1"/>
  <c r="C7" i="5" s="1"/>
  <c r="C8" i="5" a="1"/>
  <c r="C8" i="5"/>
  <c r="C9" i="5" a="1"/>
  <c r="C9" i="5" s="1"/>
  <c r="C10" i="5" a="1"/>
  <c r="C10" i="5"/>
  <c r="C11" i="5" a="1"/>
  <c r="C11" i="5"/>
  <c r="C12" i="5" a="1"/>
  <c r="C12" i="5" s="1"/>
  <c r="C13" i="5" a="1"/>
  <c r="C13" i="5"/>
  <c r="C2" i="5" a="1"/>
  <c r="C2" i="5" s="1"/>
  <c r="B11" i="4"/>
  <c r="B16" i="4" s="1"/>
  <c r="B12" i="4"/>
  <c r="B13" i="4"/>
  <c r="B14" i="4"/>
  <c r="B15" i="4"/>
  <c r="C10" i="4" a="1"/>
  <c r="C10" i="4" s="1"/>
  <c r="L4" i="4"/>
  <c r="C12" i="4" s="1" a="1"/>
  <c r="C12" i="4" s="1"/>
  <c r="G16" i="4"/>
  <c r="G11" i="4"/>
  <c r="G12" i="4"/>
  <c r="G13" i="4"/>
  <c r="G14" i="4"/>
  <c r="G15" i="4"/>
  <c r="G10" i="4"/>
  <c r="B10" i="4"/>
  <c r="C13" i="4" l="1" a="1"/>
  <c r="C13" i="4" s="1"/>
  <c r="D13" i="4" s="1"/>
  <c r="C15" i="4" a="1"/>
  <c r="C15" i="4" s="1"/>
  <c r="D15" i="4" s="1"/>
  <c r="C14" i="4" a="1"/>
  <c r="C14" i="4" s="1"/>
  <c r="H14" i="4" s="1"/>
  <c r="F14" i="4" s="1"/>
  <c r="C11" i="4" a="1"/>
  <c r="C11" i="4" s="1"/>
  <c r="D11" i="4" s="1"/>
  <c r="E11" i="4" s="1"/>
  <c r="E9" i="5"/>
  <c r="E8" i="5"/>
  <c r="E11" i="5"/>
  <c r="E10" i="5"/>
  <c r="E7" i="5"/>
  <c r="E5" i="5"/>
  <c r="E3" i="5"/>
  <c r="E4" i="5"/>
  <c r="E13" i="5"/>
  <c r="E12" i="5"/>
  <c r="E2" i="5"/>
  <c r="D12" i="4"/>
  <c r="H12" i="4"/>
  <c r="F12" i="4" s="1"/>
  <c r="D10" i="4"/>
  <c r="E10" i="4" s="1"/>
  <c r="H10" i="4"/>
  <c r="I10" i="4" s="1"/>
  <c r="H15" i="4" l="1"/>
  <c r="F15" i="4" s="1"/>
  <c r="H13" i="4"/>
  <c r="F13" i="4" s="1"/>
  <c r="D14" i="4"/>
  <c r="E14" i="4" s="1"/>
  <c r="H11" i="4"/>
  <c r="I11" i="4" s="1"/>
  <c r="I14" i="4"/>
  <c r="F10" i="4"/>
  <c r="E15" i="4"/>
  <c r="I12" i="4"/>
  <c r="E12" i="4"/>
  <c r="E13" i="4"/>
  <c r="C16" i="4"/>
  <c r="I13" i="4" l="1"/>
  <c r="I15" i="4"/>
  <c r="F11" i="4"/>
  <c r="D16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<sst xmlns="http://schemas.openxmlformats.org/spreadsheetml/2006/main" count="6673" uniqueCount="1565">
  <si>
    <t>Invoice_No</t>
  </si>
  <si>
    <t>Month</t>
  </si>
  <si>
    <t>Trade</t>
  </si>
  <si>
    <t>Cost_Code</t>
  </si>
  <si>
    <t>Description</t>
  </si>
  <si>
    <t>Contractor</t>
  </si>
  <si>
    <t>PO_Number</t>
  </si>
  <si>
    <t>Planned_Cost</t>
  </si>
  <si>
    <t>Actual_Cost</t>
  </si>
  <si>
    <t>Status</t>
  </si>
  <si>
    <t>Approved_By</t>
  </si>
  <si>
    <t>INV-CIV-01-2824</t>
  </si>
  <si>
    <t>Jan-24</t>
  </si>
  <si>
    <t>Civil</t>
  </si>
  <si>
    <t>CI-01</t>
  </si>
  <si>
    <t>Site Preparation &amp; Clearing</t>
  </si>
  <si>
    <t>Judlau Contracting</t>
  </si>
  <si>
    <t>PO-13278</t>
  </si>
  <si>
    <t>Posted</t>
  </si>
  <si>
    <t>R. Okafor</t>
  </si>
  <si>
    <t>INV-CIV-02-5012</t>
  </si>
  <si>
    <t>Feb-24</t>
  </si>
  <si>
    <t>PO-39256</t>
  </si>
  <si>
    <t>A. Chen</t>
  </si>
  <si>
    <t>INV-CIV-03-2679</t>
  </si>
  <si>
    <t>Mar-24</t>
  </si>
  <si>
    <t>PO-98696</t>
  </si>
  <si>
    <t>J. Martinez</t>
  </si>
  <si>
    <t>INV-CIV-04-7912</t>
  </si>
  <si>
    <t>Apr-24</t>
  </si>
  <si>
    <t>PO-14165</t>
  </si>
  <si>
    <t>INV-CIV-05-2535</t>
  </si>
  <si>
    <t>May-24</t>
  </si>
  <si>
    <t>PO-38657</t>
  </si>
  <si>
    <t>INV-CIV-06-9279</t>
  </si>
  <si>
    <t>Jun-24</t>
  </si>
  <si>
    <t>PO-88907</t>
  </si>
  <si>
    <t>INV-CIV-07-4257</t>
  </si>
  <si>
    <t>Jul-24</t>
  </si>
  <si>
    <t>PO-95181</t>
  </si>
  <si>
    <t>S. Patel</t>
  </si>
  <si>
    <t>INV-CIV-08-4611</t>
  </si>
  <si>
    <t>Aug-24</t>
  </si>
  <si>
    <t>PO-68878</t>
  </si>
  <si>
    <t>INV-CIV-09-1106</t>
  </si>
  <si>
    <t>Sep-24</t>
  </si>
  <si>
    <t>PO-30926</t>
  </si>
  <si>
    <t>INV-CIV-10-6574</t>
  </si>
  <si>
    <t>Oct-24</t>
  </si>
  <si>
    <t>PO-46421</t>
  </si>
  <si>
    <t>Forecast</t>
  </si>
  <si>
    <t>INV-CIV-11-4527</t>
  </si>
  <si>
    <t>Nov-24</t>
  </si>
  <si>
    <t>PO-54118</t>
  </si>
  <si>
    <t>INV-CIV-12-2519</t>
  </si>
  <si>
    <t>Dec-24</t>
  </si>
  <si>
    <t>PO-59797</t>
  </si>
  <si>
    <t>INV-CIV-01-6635</t>
  </si>
  <si>
    <t>CI-02</t>
  </si>
  <si>
    <t>Earthworks &amp; Grading</t>
  </si>
  <si>
    <t>Tully Construction</t>
  </si>
  <si>
    <t>PO-89131</t>
  </si>
  <si>
    <t>INV-CIV-02-1711</t>
  </si>
  <si>
    <t>PO-70217</t>
  </si>
  <si>
    <t>INV-CIV-03-7201</t>
  </si>
  <si>
    <t>PO-20328</t>
  </si>
  <si>
    <t>INV-CIV-04-6925</t>
  </si>
  <si>
    <t>PO-85674</t>
  </si>
  <si>
    <t>INV-CIV-05-2139</t>
  </si>
  <si>
    <t>PO-16006</t>
  </si>
  <si>
    <t>INV-CIV-06-5741</t>
  </si>
  <si>
    <t>PO-20458</t>
  </si>
  <si>
    <t>INV-CIV-07-2654</t>
  </si>
  <si>
    <t>PO-59823</t>
  </si>
  <si>
    <t>INV-CIV-08-8428</t>
  </si>
  <si>
    <t>PO-93320</t>
  </si>
  <si>
    <t>INV-CIV-09-3664</t>
  </si>
  <si>
    <t>PO-58520</t>
  </si>
  <si>
    <t>INV-CIV-10-4432</t>
  </si>
  <si>
    <t>PO-97841</t>
  </si>
  <si>
    <t>INV-CIV-11-2169</t>
  </si>
  <si>
    <t>PO-89840</t>
  </si>
  <si>
    <t>INV-CIV-12-9751</t>
  </si>
  <si>
    <t>PO-42087</t>
  </si>
  <si>
    <t>INV-CIV-01-7216</t>
  </si>
  <si>
    <t>CI-03</t>
  </si>
  <si>
    <t>Dewatering Works</t>
  </si>
  <si>
    <t>PO-45382</t>
  </si>
  <si>
    <t>INV-CIV-02-6313</t>
  </si>
  <si>
    <t>PO-17331</t>
  </si>
  <si>
    <t>INV-CIV-03-1525</t>
  </si>
  <si>
    <t>PO-51347</t>
  </si>
  <si>
    <t>INV-CIV-04-5386</t>
  </si>
  <si>
    <t>PO-18675</t>
  </si>
  <si>
    <t>INV-CIV-05-6155</t>
  </si>
  <si>
    <t>PO-37869</t>
  </si>
  <si>
    <t>INV-CIV-06-7482</t>
  </si>
  <si>
    <t>PO-94259</t>
  </si>
  <si>
    <t>INV-CIV-07-3340</t>
  </si>
  <si>
    <t>PO-44718</t>
  </si>
  <si>
    <t>INV-CIV-08-5040</t>
  </si>
  <si>
    <t>PO-83579</t>
  </si>
  <si>
    <t>INV-CIV-09-8019</t>
  </si>
  <si>
    <t>PO-86484</t>
  </si>
  <si>
    <t>INV-CIV-10-6930</t>
  </si>
  <si>
    <t>PO-38746</t>
  </si>
  <si>
    <t>INV-CIV-11-9348</t>
  </si>
  <si>
    <t>PO-74686</t>
  </si>
  <si>
    <t>INV-CIV-12-1771</t>
  </si>
  <si>
    <t>PO-24371</t>
  </si>
  <si>
    <t>INV-CIV-01-3621</t>
  </si>
  <si>
    <t>CI-04</t>
  </si>
  <si>
    <t>Underground Utilities</t>
  </si>
  <si>
    <t>PO-99192</t>
  </si>
  <si>
    <t>INV-CIV-02-2040</t>
  </si>
  <si>
    <t>PO-60432</t>
  </si>
  <si>
    <t>INV-CIV-03-8668</t>
  </si>
  <si>
    <t>PO-79352</t>
  </si>
  <si>
    <t>INV-CIV-04-1188</t>
  </si>
  <si>
    <t>PO-99166</t>
  </si>
  <si>
    <t>INV-CIV-05-9797</t>
  </si>
  <si>
    <t>PO-44973</t>
  </si>
  <si>
    <t>INV-CIV-06-2827</t>
  </si>
  <si>
    <t>PO-48469</t>
  </si>
  <si>
    <t>INV-CIV-07-3591</t>
  </si>
  <si>
    <t>PO-69470</t>
  </si>
  <si>
    <t>INV-CIV-08-5315</t>
  </si>
  <si>
    <t>PO-75612</t>
  </si>
  <si>
    <t>INV-CIV-09-9317</t>
  </si>
  <si>
    <t>PO-23947</t>
  </si>
  <si>
    <t>INV-CIV-10-9317</t>
  </si>
  <si>
    <t>PO-89818</t>
  </si>
  <si>
    <t>INV-CIV-11-3504</t>
  </si>
  <si>
    <t>PO-59009</t>
  </si>
  <si>
    <t>INV-CIV-12-9837</t>
  </si>
  <si>
    <t>PO-79514</t>
  </si>
  <si>
    <t>INV-CIV-01-6310</t>
  </si>
  <si>
    <t>CI-05</t>
  </si>
  <si>
    <t>Piling &amp; Foundations</t>
  </si>
  <si>
    <t>PO-74042</t>
  </si>
  <si>
    <t>INV-CIV-02-2832</t>
  </si>
  <si>
    <t>PO-57576</t>
  </si>
  <si>
    <t>INV-CIV-03-4923</t>
  </si>
  <si>
    <t>PO-17592</t>
  </si>
  <si>
    <t>INV-CIV-04-2290</t>
  </si>
  <si>
    <t>PO-21226</t>
  </si>
  <si>
    <t>INV-CIV-05-2133</t>
  </si>
  <si>
    <t>PO-79822</t>
  </si>
  <si>
    <t>INV-CIV-06-3103</t>
  </si>
  <si>
    <t>PO-96474</t>
  </si>
  <si>
    <t>INV-CIV-07-3705</t>
  </si>
  <si>
    <t>PO-44741</t>
  </si>
  <si>
    <t>INV-CIV-08-4470</t>
  </si>
  <si>
    <t>PO-80686</t>
  </si>
  <si>
    <t>INV-CIV-09-6107</t>
  </si>
  <si>
    <t>PO-62296</t>
  </si>
  <si>
    <t>INV-CIV-10-8177</t>
  </si>
  <si>
    <t>PO-77839</t>
  </si>
  <si>
    <t>INV-CIV-11-2982</t>
  </si>
  <si>
    <t>PO-42493</t>
  </si>
  <si>
    <t>INV-CIV-12-2049</t>
  </si>
  <si>
    <t>PO-54313</t>
  </si>
  <si>
    <t>INV-CIV-01-4770</t>
  </si>
  <si>
    <t>CI-06</t>
  </si>
  <si>
    <t>Site Roads &amp; Hardstanding</t>
  </si>
  <si>
    <t>PO-87128</t>
  </si>
  <si>
    <t>INV-CIV-02-1117</t>
  </si>
  <si>
    <t>PO-19305</t>
  </si>
  <si>
    <t>INV-CIV-03-4750</t>
  </si>
  <si>
    <t>PO-18834</t>
  </si>
  <si>
    <t>INV-CIV-04-6413</t>
  </si>
  <si>
    <t>PO-19287</t>
  </si>
  <si>
    <t>INV-CIV-05-5562</t>
  </si>
  <si>
    <t>PO-97684</t>
  </si>
  <si>
    <t>INV-CIV-06-4510</t>
  </si>
  <si>
    <t>PO-80678</t>
  </si>
  <si>
    <t>INV-CIV-07-8744</t>
  </si>
  <si>
    <t>PO-41850</t>
  </si>
  <si>
    <t>INV-CIV-08-7669</t>
  </si>
  <si>
    <t>PO-34957</t>
  </si>
  <si>
    <t>INV-CIV-09-2588</t>
  </si>
  <si>
    <t>PO-96374</t>
  </si>
  <si>
    <t>INV-CIV-10-6804</t>
  </si>
  <si>
    <t>PO-65519</t>
  </si>
  <si>
    <t>INV-CIV-11-8651</t>
  </si>
  <si>
    <t>PO-17100</t>
  </si>
  <si>
    <t>INV-CIV-12-1993</t>
  </si>
  <si>
    <t>PO-62772</t>
  </si>
  <si>
    <t>INV-CIV-01-5073</t>
  </si>
  <si>
    <t>CI-07</t>
  </si>
  <si>
    <t>Retaining Walls</t>
  </si>
  <si>
    <t>Posillico Civil</t>
  </si>
  <si>
    <t>PO-35112</t>
  </si>
  <si>
    <t>INV-CIV-02-9786</t>
  </si>
  <si>
    <t>PO-68800</t>
  </si>
  <si>
    <t>INV-CIV-03-7912</t>
  </si>
  <si>
    <t>PO-34050</t>
  </si>
  <si>
    <t>INV-CIV-04-8579</t>
  </si>
  <si>
    <t>PO-42742</t>
  </si>
  <si>
    <t>INV-CIV-05-8260</t>
  </si>
  <si>
    <t>PO-82132</t>
  </si>
  <si>
    <t>INV-CIV-06-1828</t>
  </si>
  <si>
    <t>PO-95477</t>
  </si>
  <si>
    <t>INV-CIV-07-2528</t>
  </si>
  <si>
    <t>PO-40982</t>
  </si>
  <si>
    <t>INV-CIV-08-7658</t>
  </si>
  <si>
    <t>PO-73653</t>
  </si>
  <si>
    <t>INV-CIV-09-4502</t>
  </si>
  <si>
    <t>PO-62565</t>
  </si>
  <si>
    <t>INV-CIV-10-3697</t>
  </si>
  <si>
    <t>PO-59672</t>
  </si>
  <si>
    <t>INV-CIV-11-7396</t>
  </si>
  <si>
    <t>PO-44760</t>
  </si>
  <si>
    <t>INV-CIV-12-5673</t>
  </si>
  <si>
    <t>PO-65444</t>
  </si>
  <si>
    <t>INV-CIV-01-4111</t>
  </si>
  <si>
    <t>CI-08</t>
  </si>
  <si>
    <t>Drainage &amp; Stormwater</t>
  </si>
  <si>
    <t>PO-48890</t>
  </si>
  <si>
    <t>INV-CIV-02-1958</t>
  </si>
  <si>
    <t>PO-85914</t>
  </si>
  <si>
    <t>INV-CIV-03-6138</t>
  </si>
  <si>
    <t>PO-17492</t>
  </si>
  <si>
    <t>INV-CIV-04-8811</t>
  </si>
  <si>
    <t>PO-75909</t>
  </si>
  <si>
    <t>INV-CIV-05-1931</t>
  </si>
  <si>
    <t>PO-76562</t>
  </si>
  <si>
    <t>INV-CIV-06-4044</t>
  </si>
  <si>
    <t>PO-18981</t>
  </si>
  <si>
    <t>INV-CIV-07-4853</t>
  </si>
  <si>
    <t>PO-62923</t>
  </si>
  <si>
    <t>INV-CIV-08-5033</t>
  </si>
  <si>
    <t>PO-85880</t>
  </si>
  <si>
    <t>INV-CIV-09-2343</t>
  </si>
  <si>
    <t>PO-64948</t>
  </si>
  <si>
    <t>INV-CIV-10-5272</t>
  </si>
  <si>
    <t>PO-36772</t>
  </si>
  <si>
    <t>INV-CIV-11-4910</t>
  </si>
  <si>
    <t>PO-44814</t>
  </si>
  <si>
    <t>INV-CIV-12-3144</t>
  </si>
  <si>
    <t>PO-98039</t>
  </si>
  <si>
    <t>INV-CIV-01-6180</t>
  </si>
  <si>
    <t>CI-09</t>
  </si>
  <si>
    <t>Site Hoarding &amp; Fencing</t>
  </si>
  <si>
    <t>PO-19508</t>
  </si>
  <si>
    <t>INV-CIV-02-8508</t>
  </si>
  <si>
    <t>PO-91416</t>
  </si>
  <si>
    <t>INV-CIV-03-2200</t>
  </si>
  <si>
    <t>PO-80468</t>
  </si>
  <si>
    <t>INV-CIV-04-9288</t>
  </si>
  <si>
    <t>INV-CIV-05-6718</t>
  </si>
  <si>
    <t>PO-19016</t>
  </si>
  <si>
    <t>INV-CIV-06-7054</t>
  </si>
  <si>
    <t>PO-47353</t>
  </si>
  <si>
    <t>INV-CIV-07-8179</t>
  </si>
  <si>
    <t>PO-81200</t>
  </si>
  <si>
    <t>INV-CIV-08-9666</t>
  </si>
  <si>
    <t>PO-11025</t>
  </si>
  <si>
    <t>INV-CIV-09-2697</t>
  </si>
  <si>
    <t>PO-27601</t>
  </si>
  <si>
    <t>INV-CIV-10-2891</t>
  </si>
  <si>
    <t>PO-24029</t>
  </si>
  <si>
    <t>INV-CIV-11-5462</t>
  </si>
  <si>
    <t>PO-46930</t>
  </si>
  <si>
    <t>INV-CIV-12-6617</t>
  </si>
  <si>
    <t>PO-36685</t>
  </si>
  <si>
    <t>INV-CIV-01-9004</t>
  </si>
  <si>
    <t>CI-10</t>
  </si>
  <si>
    <t>Mobilization</t>
  </si>
  <si>
    <t>PO-42914</t>
  </si>
  <si>
    <t>INV-CIV-02-2512</t>
  </si>
  <si>
    <t>PO-93136</t>
  </si>
  <si>
    <t>INV-CIV-03-5533</t>
  </si>
  <si>
    <t>PO-15778</t>
  </si>
  <si>
    <t>INV-CIV-04-6464</t>
  </si>
  <si>
    <t>PO-27146</t>
  </si>
  <si>
    <t>INV-CIV-05-3647</t>
  </si>
  <si>
    <t>PO-67912</t>
  </si>
  <si>
    <t>INV-CIV-06-1158</t>
  </si>
  <si>
    <t>PO-24663</t>
  </si>
  <si>
    <t>INV-CIV-07-3442</t>
  </si>
  <si>
    <t>PO-81511</t>
  </si>
  <si>
    <t>INV-CIV-08-7049</t>
  </si>
  <si>
    <t>PO-86350</t>
  </si>
  <si>
    <t>INV-CIV-09-8041</t>
  </si>
  <si>
    <t>PO-26704</t>
  </si>
  <si>
    <t>INV-CIV-10-6050</t>
  </si>
  <si>
    <t>PO-57795</t>
  </si>
  <si>
    <t>INV-CIV-11-6862</t>
  </si>
  <si>
    <t>PO-37535</t>
  </si>
  <si>
    <t>INV-CIV-12-2684</t>
  </si>
  <si>
    <t>PO-56357</t>
  </si>
  <si>
    <t>INV-STR-01-3532</t>
  </si>
  <si>
    <t>Structural Steel</t>
  </si>
  <si>
    <t>ST-01</t>
  </si>
  <si>
    <t>Steel Fabrication</t>
  </si>
  <si>
    <t>Schuff Steel</t>
  </si>
  <si>
    <t>PO-41029</t>
  </si>
  <si>
    <t>INV-STR-02-3900</t>
  </si>
  <si>
    <t>PO-64040</t>
  </si>
  <si>
    <t>INV-STR-03-3938</t>
  </si>
  <si>
    <t>PO-53540</t>
  </si>
  <si>
    <t>INV-STR-04-5065</t>
  </si>
  <si>
    <t>PO-44970</t>
  </si>
  <si>
    <t>INV-STR-05-2771</t>
  </si>
  <si>
    <t>PO-60140</t>
  </si>
  <si>
    <t>INV-STR-06-8711</t>
  </si>
  <si>
    <t>PO-39154</t>
  </si>
  <si>
    <t>INV-STR-07-8541</t>
  </si>
  <si>
    <t>PO-55830</t>
  </si>
  <si>
    <t>INV-STR-08-4728</t>
  </si>
  <si>
    <t>PO-39219</t>
  </si>
  <si>
    <t>INV-STR-09-4164</t>
  </si>
  <si>
    <t>PO-62227</t>
  </si>
  <si>
    <t>INV-STR-10-5564</t>
  </si>
  <si>
    <t>PO-19099</t>
  </si>
  <si>
    <t>INV-STR-11-6753</t>
  </si>
  <si>
    <t>PO-94080</t>
  </si>
  <si>
    <t>INV-STR-12-9785</t>
  </si>
  <si>
    <t>PO-53404</t>
  </si>
  <si>
    <t>INV-STR-01-5279</t>
  </si>
  <si>
    <t>ST-02</t>
  </si>
  <si>
    <t>Steel Erection</t>
  </si>
  <si>
    <t>Banker Steel</t>
  </si>
  <si>
    <t>PO-33405</t>
  </si>
  <si>
    <t>INV-STR-02-1626</t>
  </si>
  <si>
    <t>PO-24208</t>
  </si>
  <si>
    <t>INV-STR-03-6663</t>
  </si>
  <si>
    <t>PO-51114</t>
  </si>
  <si>
    <t>INV-STR-04-9379</t>
  </si>
  <si>
    <t>PO-25157</t>
  </si>
  <si>
    <t>INV-STR-05-4114</t>
  </si>
  <si>
    <t>PO-43386</t>
  </si>
  <si>
    <t>INV-STR-06-8144</t>
  </si>
  <si>
    <t>PO-10221</t>
  </si>
  <si>
    <t>INV-STR-07-6967</t>
  </si>
  <si>
    <t>PO-66531</t>
  </si>
  <si>
    <t>INV-STR-08-6409</t>
  </si>
  <si>
    <t>PO-91678</t>
  </si>
  <si>
    <t>INV-STR-09-3041</t>
  </si>
  <si>
    <t>PO-49363</t>
  </si>
  <si>
    <t>INV-STR-10-7691</t>
  </si>
  <si>
    <t>PO-52753</t>
  </si>
  <si>
    <t>INV-STR-11-5844</t>
  </si>
  <si>
    <t>PO-82667</t>
  </si>
  <si>
    <t>INV-STR-12-4143</t>
  </si>
  <si>
    <t>PO-65108</t>
  </si>
  <si>
    <t>INV-STR-01-3851</t>
  </si>
  <si>
    <t>ST-03</t>
  </si>
  <si>
    <t>Connection Design</t>
  </si>
  <si>
    <t>PO-90676</t>
  </si>
  <si>
    <t>INV-STR-02-7653</t>
  </si>
  <si>
    <t>PO-81819</t>
  </si>
  <si>
    <t>INV-STR-03-5978</t>
  </si>
  <si>
    <t>PO-47606</t>
  </si>
  <si>
    <t>INV-STR-04-8043</t>
  </si>
  <si>
    <t>PO-86019</t>
  </si>
  <si>
    <t>INV-STR-05-8618</t>
  </si>
  <si>
    <t>PO-67905</t>
  </si>
  <si>
    <t>INV-STR-06-4501</t>
  </si>
  <si>
    <t>PO-77000</t>
  </si>
  <si>
    <t>INV-STR-07-3780</t>
  </si>
  <si>
    <t>PO-96356</t>
  </si>
  <si>
    <t>INV-STR-08-5649</t>
  </si>
  <si>
    <t>PO-77561</t>
  </si>
  <si>
    <t>INV-STR-09-2530</t>
  </si>
  <si>
    <t>PO-40784</t>
  </si>
  <si>
    <t>INV-STR-10-4680</t>
  </si>
  <si>
    <t>PO-36100</t>
  </si>
  <si>
    <t>INV-STR-11-1400</t>
  </si>
  <si>
    <t>PO-16057</t>
  </si>
  <si>
    <t>INV-STR-12-8784</t>
  </si>
  <si>
    <t>PO-90120</t>
  </si>
  <si>
    <t>INV-STR-01-7790</t>
  </si>
  <si>
    <t>ST-04</t>
  </si>
  <si>
    <t>Fireproofing Steel</t>
  </si>
  <si>
    <t>Supreme Steel</t>
  </si>
  <si>
    <t>PO-92544</t>
  </si>
  <si>
    <t>INV-STR-02-7291</t>
  </si>
  <si>
    <t>PO-74799</t>
  </si>
  <si>
    <t>INV-STR-03-4997</t>
  </si>
  <si>
    <t>PO-29342</t>
  </si>
  <si>
    <t>INV-STR-04-2746</t>
  </si>
  <si>
    <t>PO-65724</t>
  </si>
  <si>
    <t>INV-STR-05-3881</t>
  </si>
  <si>
    <t>PO-77889</t>
  </si>
  <si>
    <t>INV-STR-06-1822</t>
  </si>
  <si>
    <t>PO-83060</t>
  </si>
  <si>
    <t>INV-STR-07-2988</t>
  </si>
  <si>
    <t>PO-69829</t>
  </si>
  <si>
    <t>INV-STR-08-8612</t>
  </si>
  <si>
    <t>PO-97500</t>
  </si>
  <si>
    <t>INV-STR-09-8251</t>
  </si>
  <si>
    <t>PO-90301</t>
  </si>
  <si>
    <t>INV-STR-10-9976</t>
  </si>
  <si>
    <t>PO-68446</t>
  </si>
  <si>
    <t>INV-STR-11-8777</t>
  </si>
  <si>
    <t>PO-68991</t>
  </si>
  <si>
    <t>INV-STR-12-5050</t>
  </si>
  <si>
    <t>PO-93579</t>
  </si>
  <si>
    <t>INV-STR-01-8939</t>
  </si>
  <si>
    <t>ST-05</t>
  </si>
  <si>
    <t>Secondary Steelwork</t>
  </si>
  <si>
    <t>PO-92149</t>
  </si>
  <si>
    <t>INV-STR-02-5499</t>
  </si>
  <si>
    <t>PO-67654</t>
  </si>
  <si>
    <t>INV-STR-03-5681</t>
  </si>
  <si>
    <t>PO-40735</t>
  </si>
  <si>
    <t>INV-STR-04-6502</t>
  </si>
  <si>
    <t>PO-51904</t>
  </si>
  <si>
    <t>INV-STR-05-3267</t>
  </si>
  <si>
    <t>PO-29769</t>
  </si>
  <si>
    <t>INV-STR-06-7275</t>
  </si>
  <si>
    <t>PO-30028</t>
  </si>
  <si>
    <t>INV-STR-07-2052</t>
  </si>
  <si>
    <t>PO-64377</t>
  </si>
  <si>
    <t>INV-STR-08-6421</t>
  </si>
  <si>
    <t>PO-81121</t>
  </si>
  <si>
    <t>INV-STR-09-7812</t>
  </si>
  <si>
    <t>PO-18161</t>
  </si>
  <si>
    <t>INV-STR-10-7883</t>
  </si>
  <si>
    <t>PO-61049</t>
  </si>
  <si>
    <t>INV-STR-11-7232</t>
  </si>
  <si>
    <t>PO-72518</t>
  </si>
  <si>
    <t>INV-STR-12-6763</t>
  </si>
  <si>
    <t>PO-49139</t>
  </si>
  <si>
    <t>INV-STR-01-9818</t>
  </si>
  <si>
    <t>ST-06</t>
  </si>
  <si>
    <t>Steel Decking</t>
  </si>
  <si>
    <t>PO-81582</t>
  </si>
  <si>
    <t>INV-STR-02-8999</t>
  </si>
  <si>
    <t>PO-38760</t>
  </si>
  <si>
    <t>INV-STR-03-8140</t>
  </si>
  <si>
    <t>PO-73654</t>
  </si>
  <si>
    <t>INV-STR-04-7371</t>
  </si>
  <si>
    <t>PO-54057</t>
  </si>
  <si>
    <t>INV-STR-05-3704</t>
  </si>
  <si>
    <t>PO-71261</t>
  </si>
  <si>
    <t>INV-STR-06-9751</t>
  </si>
  <si>
    <t>PO-13534</t>
  </si>
  <si>
    <t>INV-STR-07-1444</t>
  </si>
  <si>
    <t>PO-21003</t>
  </si>
  <si>
    <t>INV-STR-08-3223</t>
  </si>
  <si>
    <t>PO-70515</t>
  </si>
  <si>
    <t>INV-STR-09-1823</t>
  </si>
  <si>
    <t>PO-44099</t>
  </si>
  <si>
    <t>INV-STR-10-6363</t>
  </si>
  <si>
    <t>PO-37742</t>
  </si>
  <si>
    <t>INV-STR-11-6355</t>
  </si>
  <si>
    <t>PO-54236</t>
  </si>
  <si>
    <t>INV-STR-12-5558</t>
  </si>
  <si>
    <t>PO-65255</t>
  </si>
  <si>
    <t>INV-STR-01-8705</t>
  </si>
  <si>
    <t>ST-07</t>
  </si>
  <si>
    <t>Temporary Works Steel</t>
  </si>
  <si>
    <t>PO-12540</t>
  </si>
  <si>
    <t>INV-STR-02-6733</t>
  </si>
  <si>
    <t>PO-39389</t>
  </si>
  <si>
    <t>INV-STR-03-1659</t>
  </si>
  <si>
    <t>PO-14067</t>
  </si>
  <si>
    <t>INV-STR-04-4266</t>
  </si>
  <si>
    <t>PO-12671</t>
  </si>
  <si>
    <t>INV-STR-05-4908</t>
  </si>
  <si>
    <t>PO-26544</t>
  </si>
  <si>
    <t>INV-STR-06-2874</t>
  </si>
  <si>
    <t>PO-83920</t>
  </si>
  <si>
    <t>INV-STR-07-8619</t>
  </si>
  <si>
    <t>PO-43586</t>
  </si>
  <si>
    <t>INV-STR-08-3749</t>
  </si>
  <si>
    <t>PO-89415</t>
  </si>
  <si>
    <t>INV-STR-09-3683</t>
  </si>
  <si>
    <t>PO-50768</t>
  </si>
  <si>
    <t>INV-STR-10-1420</t>
  </si>
  <si>
    <t>PO-50888</t>
  </si>
  <si>
    <t>INV-STR-11-7498</t>
  </si>
  <si>
    <t>PO-35995</t>
  </si>
  <si>
    <t>INV-STR-12-4978</t>
  </si>
  <si>
    <t>PO-23356</t>
  </si>
  <si>
    <t>INV-STR-01-2983</t>
  </si>
  <si>
    <t>ST-08</t>
  </si>
  <si>
    <t>Misc Metalwork</t>
  </si>
  <si>
    <t>PO-84177</t>
  </si>
  <si>
    <t>INV-STR-02-6688</t>
  </si>
  <si>
    <t>PO-79827</t>
  </si>
  <si>
    <t>INV-STR-03-7071</t>
  </si>
  <si>
    <t>PO-19038</t>
  </si>
  <si>
    <t>INV-STR-04-1207</t>
  </si>
  <si>
    <t>PO-65057</t>
  </si>
  <si>
    <t>INV-STR-05-2729</t>
  </si>
  <si>
    <t>PO-66822</t>
  </si>
  <si>
    <t>INV-STR-06-8532</t>
  </si>
  <si>
    <t>PO-30052</t>
  </si>
  <si>
    <t>INV-STR-07-3885</t>
  </si>
  <si>
    <t>PO-78386</t>
  </si>
  <si>
    <t>INV-STR-08-9817</t>
  </si>
  <si>
    <t>PO-73372</t>
  </si>
  <si>
    <t>INV-STR-09-8136</t>
  </si>
  <si>
    <t>PO-87656</t>
  </si>
  <si>
    <t>INV-STR-10-6280</t>
  </si>
  <si>
    <t>PO-42177</t>
  </si>
  <si>
    <t>INV-STR-11-5569</t>
  </si>
  <si>
    <t>PO-69087</t>
  </si>
  <si>
    <t>INV-STR-12-8613</t>
  </si>
  <si>
    <t>PO-84691</t>
  </si>
  <si>
    <t>INV-STR-01-1470</t>
  </si>
  <si>
    <t>ST-09</t>
  </si>
  <si>
    <t>NDT Testing</t>
  </si>
  <si>
    <t>PO-74789</t>
  </si>
  <si>
    <t>INV-STR-02-3979</t>
  </si>
  <si>
    <t>PO-73904</t>
  </si>
  <si>
    <t>INV-STR-03-6813</t>
  </si>
  <si>
    <t>PO-43862</t>
  </si>
  <si>
    <t>INV-STR-04-5581</t>
  </si>
  <si>
    <t>PO-88139</t>
  </si>
  <si>
    <t>INV-STR-05-1166</t>
  </si>
  <si>
    <t>PO-77715</t>
  </si>
  <si>
    <t>INV-STR-06-2402</t>
  </si>
  <si>
    <t>PO-41635</t>
  </si>
  <si>
    <t>INV-STR-07-9004</t>
  </si>
  <si>
    <t>PO-82768</t>
  </si>
  <si>
    <t>INV-STR-08-8800</t>
  </si>
  <si>
    <t>PO-94659</t>
  </si>
  <si>
    <t>INV-STR-09-8342</t>
  </si>
  <si>
    <t>PO-12260</t>
  </si>
  <si>
    <t>INV-STR-10-5820</t>
  </si>
  <si>
    <t>PO-39045</t>
  </si>
  <si>
    <t>INV-STR-11-4986</t>
  </si>
  <si>
    <t>PO-50135</t>
  </si>
  <si>
    <t>INV-STR-12-8753</t>
  </si>
  <si>
    <t>PO-82544</t>
  </si>
  <si>
    <t>INV-MEP-01-6419</t>
  </si>
  <si>
    <t>MEP</t>
  </si>
  <si>
    <t>ME-01</t>
  </si>
  <si>
    <t>Mechanical HVAC</t>
  </si>
  <si>
    <t>Petrocelli Electric</t>
  </si>
  <si>
    <t>PO-56112</t>
  </si>
  <si>
    <t>INV-MEP-02-5438</t>
  </si>
  <si>
    <t>PO-50189</t>
  </si>
  <si>
    <t>INV-MEP-03-4777</t>
  </si>
  <si>
    <t>PO-25814</t>
  </si>
  <si>
    <t>INV-MEP-04-6169</t>
  </si>
  <si>
    <t>PO-25670</t>
  </si>
  <si>
    <t>INV-MEP-05-4138</t>
  </si>
  <si>
    <t>PO-38361</t>
  </si>
  <si>
    <t>INV-MEP-06-5530</t>
  </si>
  <si>
    <t>PO-87278</t>
  </si>
  <si>
    <t>INV-MEP-07-2647</t>
  </si>
  <si>
    <t>PO-35443</t>
  </si>
  <si>
    <t>INV-MEP-08-4727</t>
  </si>
  <si>
    <t>PO-57301</t>
  </si>
  <si>
    <t>INV-MEP-09-5952</t>
  </si>
  <si>
    <t>PO-11854</t>
  </si>
  <si>
    <t>INV-MEP-10-5494</t>
  </si>
  <si>
    <t>PO-15965</t>
  </si>
  <si>
    <t>INV-MEP-11-5786</t>
  </si>
  <si>
    <t>PO-26551</t>
  </si>
  <si>
    <t>INV-MEP-12-2680</t>
  </si>
  <si>
    <t>PO-11607</t>
  </si>
  <si>
    <t>INV-MEP-01-8843</t>
  </si>
  <si>
    <t>ME-02</t>
  </si>
  <si>
    <t>Plumbing &amp; Drainage</t>
  </si>
  <si>
    <t>PO-67733</t>
  </si>
  <si>
    <t>INV-MEP-02-4020</t>
  </si>
  <si>
    <t>PO-16734</t>
  </si>
  <si>
    <t>INV-MEP-03-8827</t>
  </si>
  <si>
    <t>PO-24953</t>
  </si>
  <si>
    <t>INV-MEP-04-7565</t>
  </si>
  <si>
    <t>PO-74454</t>
  </si>
  <si>
    <t>INV-MEP-05-1878</t>
  </si>
  <si>
    <t>PO-29887</t>
  </si>
  <si>
    <t>INV-MEP-06-5978</t>
  </si>
  <si>
    <t>PO-21164</t>
  </si>
  <si>
    <t>INV-MEP-07-2940</t>
  </si>
  <si>
    <t>PO-83147</t>
  </si>
  <si>
    <t>INV-MEP-08-4697</t>
  </si>
  <si>
    <t>PO-78494</t>
  </si>
  <si>
    <t>INV-MEP-09-8381</t>
  </si>
  <si>
    <t>PO-68028</t>
  </si>
  <si>
    <t>INV-MEP-10-8025</t>
  </si>
  <si>
    <t>PO-50026</t>
  </si>
  <si>
    <t>INV-MEP-11-2625</t>
  </si>
  <si>
    <t>PO-37235</t>
  </si>
  <si>
    <t>INV-MEP-12-5335</t>
  </si>
  <si>
    <t>PO-96563</t>
  </si>
  <si>
    <t>INV-MEP-01-4929</t>
  </si>
  <si>
    <t>ME-03</t>
  </si>
  <si>
    <t>Electrical HV</t>
  </si>
  <si>
    <t>Forest Electric</t>
  </si>
  <si>
    <t>PO-32782</t>
  </si>
  <si>
    <t>INV-MEP-02-3564</t>
  </si>
  <si>
    <t>PO-10350</t>
  </si>
  <si>
    <t>INV-MEP-03-8381</t>
  </si>
  <si>
    <t>PO-87832</t>
  </si>
  <si>
    <t>INV-MEP-04-5771</t>
  </si>
  <si>
    <t>PO-14278</t>
  </si>
  <si>
    <t>INV-MEP-05-5720</t>
  </si>
  <si>
    <t>PO-47056</t>
  </si>
  <si>
    <t>INV-MEP-06-2166</t>
  </si>
  <si>
    <t>PO-40595</t>
  </si>
  <si>
    <t>INV-MEP-07-4241</t>
  </si>
  <si>
    <t>PO-65723</t>
  </si>
  <si>
    <t>INV-MEP-08-9922</t>
  </si>
  <si>
    <t>PO-39466</t>
  </si>
  <si>
    <t>INV-MEP-09-5352</t>
  </si>
  <si>
    <t>PO-28643</t>
  </si>
  <si>
    <t>INV-MEP-10-1977</t>
  </si>
  <si>
    <t>PO-31747</t>
  </si>
  <si>
    <t>INV-MEP-11-5728</t>
  </si>
  <si>
    <t>PO-67560</t>
  </si>
  <si>
    <t>INV-MEP-12-8679</t>
  </si>
  <si>
    <t>PO-49857</t>
  </si>
  <si>
    <t>INV-MEP-01-9199</t>
  </si>
  <si>
    <t>ME-04</t>
  </si>
  <si>
    <t>Electrical LV</t>
  </si>
  <si>
    <t>PO-80776</t>
  </si>
  <si>
    <t>INV-MEP-02-8172</t>
  </si>
  <si>
    <t>PO-20543</t>
  </si>
  <si>
    <t>INV-MEP-03-8078</t>
  </si>
  <si>
    <t>PO-52247</t>
  </si>
  <si>
    <t>INV-MEP-04-1423</t>
  </si>
  <si>
    <t>PO-21970</t>
  </si>
  <si>
    <t>INV-MEP-05-1339</t>
  </si>
  <si>
    <t>PO-98117</t>
  </si>
  <si>
    <t>INV-MEP-06-1659</t>
  </si>
  <si>
    <t>PO-32962</t>
  </si>
  <si>
    <t>INV-MEP-07-9502</t>
  </si>
  <si>
    <t>PO-95394</t>
  </si>
  <si>
    <t>INV-MEP-08-5557</t>
  </si>
  <si>
    <t>PO-33788</t>
  </si>
  <si>
    <t>INV-MEP-09-9056</t>
  </si>
  <si>
    <t>PO-21959</t>
  </si>
  <si>
    <t>INV-MEP-10-6700</t>
  </si>
  <si>
    <t>PO-63523</t>
  </si>
  <si>
    <t>INV-MEP-11-6260</t>
  </si>
  <si>
    <t>PO-97835</t>
  </si>
  <si>
    <t>INV-MEP-12-3634</t>
  </si>
  <si>
    <t>PO-53228</t>
  </si>
  <si>
    <t>INV-MEP-01-9117</t>
  </si>
  <si>
    <t>ME-05</t>
  </si>
  <si>
    <t>Fire Protection Systems</t>
  </si>
  <si>
    <t>Arden Building Products</t>
  </si>
  <si>
    <t>PO-47777</t>
  </si>
  <si>
    <t>INV-MEP-02-1601</t>
  </si>
  <si>
    <t>PO-69614</t>
  </si>
  <si>
    <t>INV-MEP-03-6153</t>
  </si>
  <si>
    <t>PO-43082</t>
  </si>
  <si>
    <t>INV-MEP-04-2899</t>
  </si>
  <si>
    <t>PO-62976</t>
  </si>
  <si>
    <t>INV-MEP-05-9889</t>
  </si>
  <si>
    <t>PO-70552</t>
  </si>
  <si>
    <t>INV-MEP-06-1888</t>
  </si>
  <si>
    <t>PO-34586</t>
  </si>
  <si>
    <t>INV-MEP-07-9167</t>
  </si>
  <si>
    <t>PO-91973</t>
  </si>
  <si>
    <t>INV-MEP-08-1845</t>
  </si>
  <si>
    <t>PO-36680</t>
  </si>
  <si>
    <t>INV-MEP-09-9998</t>
  </si>
  <si>
    <t>PO-27172</t>
  </si>
  <si>
    <t>INV-MEP-10-8178</t>
  </si>
  <si>
    <t>PO-73532</t>
  </si>
  <si>
    <t>INV-MEP-11-1472</t>
  </si>
  <si>
    <t>PO-92578</t>
  </si>
  <si>
    <t>INV-MEP-12-3594</t>
  </si>
  <si>
    <t>PO-50730</t>
  </si>
  <si>
    <t>INV-MEP-01-7684</t>
  </si>
  <si>
    <t>ME-06</t>
  </si>
  <si>
    <t>BMS Controls</t>
  </si>
  <si>
    <t>PO-22217</t>
  </si>
  <si>
    <t>INV-MEP-02-2858</t>
  </si>
  <si>
    <t>PO-70482</t>
  </si>
  <si>
    <t>INV-MEP-03-3522</t>
  </si>
  <si>
    <t>PO-75323</t>
  </si>
  <si>
    <t>INV-MEP-04-9337</t>
  </si>
  <si>
    <t>PO-45838</t>
  </si>
  <si>
    <t>INV-MEP-05-8905</t>
  </si>
  <si>
    <t>PO-71894</t>
  </si>
  <si>
    <t>INV-MEP-06-8483</t>
  </si>
  <si>
    <t>PO-82255</t>
  </si>
  <si>
    <t>INV-MEP-07-7284</t>
  </si>
  <si>
    <t>PO-34983</t>
  </si>
  <si>
    <t>INV-MEP-08-2143</t>
  </si>
  <si>
    <t>PO-46208</t>
  </si>
  <si>
    <t>INV-MEP-09-6568</t>
  </si>
  <si>
    <t>PO-76550</t>
  </si>
  <si>
    <t>INV-MEP-10-1042</t>
  </si>
  <si>
    <t>PO-47072</t>
  </si>
  <si>
    <t>INV-MEP-11-9022</t>
  </si>
  <si>
    <t>PO-29476</t>
  </si>
  <si>
    <t>INV-MEP-12-9824</t>
  </si>
  <si>
    <t>PO-73483</t>
  </si>
  <si>
    <t>INV-MEP-01-9903</t>
  </si>
  <si>
    <t>ME-07</t>
  </si>
  <si>
    <t>Lifts &amp; Escalators</t>
  </si>
  <si>
    <t>PO-59441</t>
  </si>
  <si>
    <t>INV-MEP-02-6272</t>
  </si>
  <si>
    <t>PO-34727</t>
  </si>
  <si>
    <t>INV-MEP-03-7274</t>
  </si>
  <si>
    <t>PO-40613</t>
  </si>
  <si>
    <t>INV-MEP-04-1715</t>
  </si>
  <si>
    <t>PO-51704</t>
  </si>
  <si>
    <t>INV-MEP-05-7246</t>
  </si>
  <si>
    <t>PO-60604</t>
  </si>
  <si>
    <t>INV-MEP-06-9115</t>
  </si>
  <si>
    <t>PO-14852</t>
  </si>
  <si>
    <t>INV-MEP-07-9229</t>
  </si>
  <si>
    <t>PO-87356</t>
  </si>
  <si>
    <t>INV-MEP-08-2644</t>
  </si>
  <si>
    <t>PO-67711</t>
  </si>
  <si>
    <t>INV-MEP-09-9617</t>
  </si>
  <si>
    <t>PO-69890</t>
  </si>
  <si>
    <t>INV-MEP-10-3361</t>
  </si>
  <si>
    <t>PO-63736</t>
  </si>
  <si>
    <t>INV-MEP-11-2225</t>
  </si>
  <si>
    <t>PO-71537</t>
  </si>
  <si>
    <t>INV-MEP-12-6546</t>
  </si>
  <si>
    <t>PO-91691</t>
  </si>
  <si>
    <t>INV-MEP-01-2315</t>
  </si>
  <si>
    <t>ME-08</t>
  </si>
  <si>
    <t>Generator Sets</t>
  </si>
  <si>
    <t>PO-53065</t>
  </si>
  <si>
    <t>INV-MEP-02-6188</t>
  </si>
  <si>
    <t>PO-92155</t>
  </si>
  <si>
    <t>INV-MEP-03-9864</t>
  </si>
  <si>
    <t>PO-14705</t>
  </si>
  <si>
    <t>INV-MEP-04-4846</t>
  </si>
  <si>
    <t>PO-92727</t>
  </si>
  <si>
    <t>INV-MEP-05-4727</t>
  </si>
  <si>
    <t>PO-21846</t>
  </si>
  <si>
    <t>INV-MEP-06-2612</t>
  </si>
  <si>
    <t>PO-93066</t>
  </si>
  <si>
    <t>INV-MEP-07-8269</t>
  </si>
  <si>
    <t>PO-31805</t>
  </si>
  <si>
    <t>INV-MEP-08-1474</t>
  </si>
  <si>
    <t>PO-16028</t>
  </si>
  <si>
    <t>INV-MEP-09-1919</t>
  </si>
  <si>
    <t>PO-48452</t>
  </si>
  <si>
    <t>INV-MEP-10-7141</t>
  </si>
  <si>
    <t>PO-66450</t>
  </si>
  <si>
    <t>INV-MEP-11-5000</t>
  </si>
  <si>
    <t>PO-79621</t>
  </si>
  <si>
    <t>INV-MEP-12-3950</t>
  </si>
  <si>
    <t>PO-32280</t>
  </si>
  <si>
    <t>INV-MEP-01-7267</t>
  </si>
  <si>
    <t>ME-09</t>
  </si>
  <si>
    <t>Specialist Systems</t>
  </si>
  <si>
    <t>PO-91226</t>
  </si>
  <si>
    <t>INV-MEP-02-9153</t>
  </si>
  <si>
    <t>PO-86435</t>
  </si>
  <si>
    <t>INV-MEP-03-4804</t>
  </si>
  <si>
    <t>PO-70443</t>
  </si>
  <si>
    <t>INV-MEP-04-8529</t>
  </si>
  <si>
    <t>PO-43466</t>
  </si>
  <si>
    <t>INV-MEP-05-8622</t>
  </si>
  <si>
    <t>PO-47700</t>
  </si>
  <si>
    <t>INV-MEP-06-2210</t>
  </si>
  <si>
    <t>PO-67898</t>
  </si>
  <si>
    <t>INV-MEP-07-5901</t>
  </si>
  <si>
    <t>PO-93746</t>
  </si>
  <si>
    <t>INV-MEP-08-5097</t>
  </si>
  <si>
    <t>PO-69878</t>
  </si>
  <si>
    <t>INV-MEP-09-4263</t>
  </si>
  <si>
    <t>PO-60422</t>
  </si>
  <si>
    <t>INV-MEP-10-2747</t>
  </si>
  <si>
    <t>PO-41091</t>
  </si>
  <si>
    <t>INV-MEP-11-6881</t>
  </si>
  <si>
    <t>PO-85341</t>
  </si>
  <si>
    <t>INV-MEP-12-5837</t>
  </si>
  <si>
    <t>PO-12875</t>
  </si>
  <si>
    <t>INV-MEP-01-1132</t>
  </si>
  <si>
    <t>ME-10</t>
  </si>
  <si>
    <t>Testing &amp; Commissioning MEP</t>
  </si>
  <si>
    <t>INV-MEP-02-9138</t>
  </si>
  <si>
    <t>PO-47512</t>
  </si>
  <si>
    <t>INV-MEP-03-6772</t>
  </si>
  <si>
    <t>PO-38705</t>
  </si>
  <si>
    <t>INV-MEP-04-5106</t>
  </si>
  <si>
    <t>PO-98835</t>
  </si>
  <si>
    <t>INV-MEP-05-2591</t>
  </si>
  <si>
    <t>PO-92242</t>
  </si>
  <si>
    <t>INV-MEP-06-6061</t>
  </si>
  <si>
    <t>PO-67779</t>
  </si>
  <si>
    <t>INV-MEP-07-6977</t>
  </si>
  <si>
    <t>PO-27224</t>
  </si>
  <si>
    <t>INV-MEP-08-5835</t>
  </si>
  <si>
    <t>PO-52823</t>
  </si>
  <si>
    <t>INV-MEP-09-3877</t>
  </si>
  <si>
    <t>PO-36318</t>
  </si>
  <si>
    <t>INV-MEP-10-9837</t>
  </si>
  <si>
    <t>PO-57953</t>
  </si>
  <si>
    <t>INV-MEP-11-3695</t>
  </si>
  <si>
    <t>PO-43681</t>
  </si>
  <si>
    <t>INV-MEP-12-5835</t>
  </si>
  <si>
    <t>PO-54396</t>
  </si>
  <si>
    <t>INV-CON-01-2233</t>
  </si>
  <si>
    <t>Concrete</t>
  </si>
  <si>
    <t>CO-01</t>
  </si>
  <si>
    <t>Rebar Supply</t>
  </si>
  <si>
    <t>Navillus Contracting</t>
  </si>
  <si>
    <t>PO-28449</t>
  </si>
  <si>
    <t>INV-CON-02-7511</t>
  </si>
  <si>
    <t>PO-83048</t>
  </si>
  <si>
    <t>INV-CON-03-2479</t>
  </si>
  <si>
    <t>PO-61717</t>
  </si>
  <si>
    <t>INV-CON-04-5332</t>
  </si>
  <si>
    <t>PO-80329</t>
  </si>
  <si>
    <t>INV-CON-05-8451</t>
  </si>
  <si>
    <t>PO-58311</t>
  </si>
  <si>
    <t>INV-CON-06-7242</t>
  </si>
  <si>
    <t>PO-93695</t>
  </si>
  <si>
    <t>INV-CON-07-2775</t>
  </si>
  <si>
    <t>PO-98452</t>
  </si>
  <si>
    <t>INV-CON-08-8724</t>
  </si>
  <si>
    <t>PO-13280</t>
  </si>
  <si>
    <t>INV-CON-09-4626</t>
  </si>
  <si>
    <t>PO-94889</t>
  </si>
  <si>
    <t>INV-CON-10-8606</t>
  </si>
  <si>
    <t>PO-49608</t>
  </si>
  <si>
    <t>INV-CON-11-2911</t>
  </si>
  <si>
    <t>PO-28320</t>
  </si>
  <si>
    <t>INV-CON-12-1609</t>
  </si>
  <si>
    <t>PO-49893</t>
  </si>
  <si>
    <t>INV-CON-01-2592</t>
  </si>
  <si>
    <t>CO-02</t>
  </si>
  <si>
    <t>Rebar Fix</t>
  </si>
  <si>
    <t>Turner Specialty</t>
  </si>
  <si>
    <t>PO-40775</t>
  </si>
  <si>
    <t>INV-CON-02-7367</t>
  </si>
  <si>
    <t>PO-69459</t>
  </si>
  <si>
    <t>INV-CON-03-9850</t>
  </si>
  <si>
    <t>PO-64935</t>
  </si>
  <si>
    <t>INV-CON-04-7797</t>
  </si>
  <si>
    <t>PO-95841</t>
  </si>
  <si>
    <t>INV-CON-05-9017</t>
  </si>
  <si>
    <t>PO-90694</t>
  </si>
  <si>
    <t>INV-CON-06-5583</t>
  </si>
  <si>
    <t>PO-14288</t>
  </si>
  <si>
    <t>INV-CON-07-4559</t>
  </si>
  <si>
    <t>PO-68115</t>
  </si>
  <si>
    <t>INV-CON-08-4868</t>
  </si>
  <si>
    <t>PO-57537</t>
  </si>
  <si>
    <t>INV-CON-09-7018</t>
  </si>
  <si>
    <t>PO-81364</t>
  </si>
  <si>
    <t>INV-CON-10-1992</t>
  </si>
  <si>
    <t>PO-62184</t>
  </si>
  <si>
    <t>INV-CON-11-4109</t>
  </si>
  <si>
    <t>PO-26011</t>
  </si>
  <si>
    <t>INV-CON-12-2501</t>
  </si>
  <si>
    <t>PO-96870</t>
  </si>
  <si>
    <t>INV-CON-01-1349</t>
  </si>
  <si>
    <t>CO-03</t>
  </si>
  <si>
    <t>Formwork</t>
  </si>
  <si>
    <t>Plaza Construction</t>
  </si>
  <si>
    <t>PO-16629</t>
  </si>
  <si>
    <t>INV-CON-02-4990</t>
  </si>
  <si>
    <t>PO-26505</t>
  </si>
  <si>
    <t>INV-CON-03-2124</t>
  </si>
  <si>
    <t>PO-82641</t>
  </si>
  <si>
    <t>INV-CON-04-4538</t>
  </si>
  <si>
    <t>PO-40539</t>
  </si>
  <si>
    <t>INV-CON-05-3417</t>
  </si>
  <si>
    <t>PO-88116</t>
  </si>
  <si>
    <t>INV-CON-06-5542</t>
  </si>
  <si>
    <t>PO-28964</t>
  </si>
  <si>
    <t>INV-CON-07-9850</t>
  </si>
  <si>
    <t>PO-42853</t>
  </si>
  <si>
    <t>INV-CON-08-2801</t>
  </si>
  <si>
    <t>PO-96646</t>
  </si>
  <si>
    <t>INV-CON-09-3159</t>
  </si>
  <si>
    <t>PO-11947</t>
  </si>
  <si>
    <t>INV-CON-10-4898</t>
  </si>
  <si>
    <t>PO-87182</t>
  </si>
  <si>
    <t>INV-CON-11-1258</t>
  </si>
  <si>
    <t>PO-32838</t>
  </si>
  <si>
    <t>INV-CON-12-1858</t>
  </si>
  <si>
    <t>PO-26614</t>
  </si>
  <si>
    <t>INV-CON-01-2862</t>
  </si>
  <si>
    <t>CO-04</t>
  </si>
  <si>
    <t>Ready-Mix Concrete</t>
  </si>
  <si>
    <t>PO-18330</t>
  </si>
  <si>
    <t>INV-CON-02-8344</t>
  </si>
  <si>
    <t>PO-57453</t>
  </si>
  <si>
    <t>INV-CON-03-8405</t>
  </si>
  <si>
    <t>PO-76039</t>
  </si>
  <si>
    <t>INV-CON-04-1710</t>
  </si>
  <si>
    <t>PO-96363</t>
  </si>
  <si>
    <t>INV-CON-05-8504</t>
  </si>
  <si>
    <t>PO-94323</t>
  </si>
  <si>
    <t>INV-CON-06-1996</t>
  </si>
  <si>
    <t>PO-72781</t>
  </si>
  <si>
    <t>INV-CON-07-7984</t>
  </si>
  <si>
    <t>PO-99928</t>
  </si>
  <si>
    <t>INV-CON-08-9032</t>
  </si>
  <si>
    <t>PO-68138</t>
  </si>
  <si>
    <t>INV-CON-09-2323</t>
  </si>
  <si>
    <t>PO-52219</t>
  </si>
  <si>
    <t>INV-CON-10-2076</t>
  </si>
  <si>
    <t>PO-26540</t>
  </si>
  <si>
    <t>INV-CON-11-9984</t>
  </si>
  <si>
    <t>PO-52622</t>
  </si>
  <si>
    <t>INV-CON-12-9692</t>
  </si>
  <si>
    <t>PO-48652</t>
  </si>
  <si>
    <t>INV-CON-01-8048</t>
  </si>
  <si>
    <t>CO-05</t>
  </si>
  <si>
    <t>Post-Tension Works</t>
  </si>
  <si>
    <t>PO-22999</t>
  </si>
  <si>
    <t>INV-CON-02-4522</t>
  </si>
  <si>
    <t>PO-66370</t>
  </si>
  <si>
    <t>INV-CON-03-4743</t>
  </si>
  <si>
    <t>PO-64239</t>
  </si>
  <si>
    <t>INV-CON-04-8430</t>
  </si>
  <si>
    <t>PO-62262</t>
  </si>
  <si>
    <t>INV-CON-05-2557</t>
  </si>
  <si>
    <t>PO-50966</t>
  </si>
  <si>
    <t>INV-CON-06-6120</t>
  </si>
  <si>
    <t>PO-97177</t>
  </si>
  <si>
    <t>INV-CON-07-7132</t>
  </si>
  <si>
    <t>PO-30006</t>
  </si>
  <si>
    <t>INV-CON-08-2099</t>
  </si>
  <si>
    <t>PO-21957</t>
  </si>
  <si>
    <t>INV-CON-09-2527</t>
  </si>
  <si>
    <t>PO-66606</t>
  </si>
  <si>
    <t>INV-CON-10-7105</t>
  </si>
  <si>
    <t>PO-27054</t>
  </si>
  <si>
    <t>INV-CON-11-6400</t>
  </si>
  <si>
    <t>PO-97819</t>
  </si>
  <si>
    <t>INV-CON-12-7730</t>
  </si>
  <si>
    <t>PO-56346</t>
  </si>
  <si>
    <t>INV-CON-01-1842</t>
  </si>
  <si>
    <t>CO-06</t>
  </si>
  <si>
    <t>Concrete Repair</t>
  </si>
  <si>
    <t>INV-CON-02-6761</t>
  </si>
  <si>
    <t>PO-23579</t>
  </si>
  <si>
    <t>INV-CON-03-3535</t>
  </si>
  <si>
    <t>PO-96079</t>
  </si>
  <si>
    <t>INV-CON-04-4674</t>
  </si>
  <si>
    <t>PO-24184</t>
  </si>
  <si>
    <t>INV-CON-05-7022</t>
  </si>
  <si>
    <t>PO-25058</t>
  </si>
  <si>
    <t>INV-CON-06-4705</t>
  </si>
  <si>
    <t>PO-66244</t>
  </si>
  <si>
    <t>INV-CON-07-5381</t>
  </si>
  <si>
    <t>PO-13794</t>
  </si>
  <si>
    <t>INV-CON-08-5477</t>
  </si>
  <si>
    <t>PO-50499</t>
  </si>
  <si>
    <t>INV-CON-09-6751</t>
  </si>
  <si>
    <t>PO-10800</t>
  </si>
  <si>
    <t>INV-CON-10-3347</t>
  </si>
  <si>
    <t>PO-84228</t>
  </si>
  <si>
    <t>INV-CON-11-2140</t>
  </si>
  <si>
    <t>PO-28595</t>
  </si>
  <si>
    <t>INV-CON-12-2503</t>
  </si>
  <si>
    <t>PO-79531</t>
  </si>
  <si>
    <t>INV-CON-01-7878</t>
  </si>
  <si>
    <t>CO-07</t>
  </si>
  <si>
    <t>Waterproofing</t>
  </si>
  <si>
    <t>PO-69460</t>
  </si>
  <si>
    <t>INV-CON-02-3578</t>
  </si>
  <si>
    <t>PO-58503</t>
  </si>
  <si>
    <t>INV-CON-03-6314</t>
  </si>
  <si>
    <t>PO-84395</t>
  </si>
  <si>
    <t>INV-CON-04-1861</t>
  </si>
  <si>
    <t>PO-30392</t>
  </si>
  <si>
    <t>INV-CON-05-1815</t>
  </si>
  <si>
    <t>PO-98338</t>
  </si>
  <si>
    <t>INV-CON-06-5458</t>
  </si>
  <si>
    <t>PO-68079</t>
  </si>
  <si>
    <t>INV-CON-07-8957</t>
  </si>
  <si>
    <t>PO-89570</t>
  </si>
  <si>
    <t>INV-CON-08-7785</t>
  </si>
  <si>
    <t>PO-45804</t>
  </si>
  <si>
    <t>INV-CON-09-9394</t>
  </si>
  <si>
    <t>PO-24918</t>
  </si>
  <si>
    <t>INV-CON-10-8043</t>
  </si>
  <si>
    <t>PO-24534</t>
  </si>
  <si>
    <t>INV-CON-11-8972</t>
  </si>
  <si>
    <t>PO-79066</t>
  </si>
  <si>
    <t>INV-CON-12-1744</t>
  </si>
  <si>
    <t>PO-38903</t>
  </si>
  <si>
    <t>INV-CON-01-1897</t>
  </si>
  <si>
    <t>CO-08</t>
  </si>
  <si>
    <t>Slab on Grade</t>
  </si>
  <si>
    <t>PO-11007</t>
  </si>
  <si>
    <t>INV-CON-02-5938</t>
  </si>
  <si>
    <t>PO-37686</t>
  </si>
  <si>
    <t>INV-CON-03-5186</t>
  </si>
  <si>
    <t>PO-47938</t>
  </si>
  <si>
    <t>INV-CON-04-2965</t>
  </si>
  <si>
    <t>PO-11013</t>
  </si>
  <si>
    <t>INV-CON-05-8055</t>
  </si>
  <si>
    <t>PO-33028</t>
  </si>
  <si>
    <t>INV-CON-06-7229</t>
  </si>
  <si>
    <t>PO-79806</t>
  </si>
  <si>
    <t>INV-CON-07-9196</t>
  </si>
  <si>
    <t>PO-83233</t>
  </si>
  <si>
    <t>INV-CON-08-2180</t>
  </si>
  <si>
    <t>PO-62044</t>
  </si>
  <si>
    <t>INV-CON-09-8147</t>
  </si>
  <si>
    <t>PO-12456</t>
  </si>
  <si>
    <t>INV-CON-10-2275</t>
  </si>
  <si>
    <t>PO-51033</t>
  </si>
  <si>
    <t>INV-CON-11-7626</t>
  </si>
  <si>
    <t>PO-93904</t>
  </si>
  <si>
    <t>INV-CON-12-5743</t>
  </si>
  <si>
    <t>PO-25096</t>
  </si>
  <si>
    <t>INV-CON-01-6321</t>
  </si>
  <si>
    <t>CO-09</t>
  </si>
  <si>
    <t>Precast Elements</t>
  </si>
  <si>
    <t>PO-32527</t>
  </si>
  <si>
    <t>INV-CON-02-6928</t>
  </si>
  <si>
    <t>PO-21551</t>
  </si>
  <si>
    <t>INV-CON-03-2734</t>
  </si>
  <si>
    <t>PO-41891</t>
  </si>
  <si>
    <t>INV-CON-04-7560</t>
  </si>
  <si>
    <t>PO-78676</t>
  </si>
  <si>
    <t>INV-CON-05-7484</t>
  </si>
  <si>
    <t>PO-50668</t>
  </si>
  <si>
    <t>INV-CON-06-4630</t>
  </si>
  <si>
    <t>PO-53655</t>
  </si>
  <si>
    <t>INV-CON-07-2251</t>
  </si>
  <si>
    <t>PO-76910</t>
  </si>
  <si>
    <t>INV-CON-08-9693</t>
  </si>
  <si>
    <t>PO-76840</t>
  </si>
  <si>
    <t>INV-CON-09-6724</t>
  </si>
  <si>
    <t>PO-56019</t>
  </si>
  <si>
    <t>INV-CON-10-4871</t>
  </si>
  <si>
    <t>PO-23474</t>
  </si>
  <si>
    <t>INV-CON-11-5193</t>
  </si>
  <si>
    <t>PO-35856</t>
  </si>
  <si>
    <t>INV-CON-12-3504</t>
  </si>
  <si>
    <t>PO-95918</t>
  </si>
  <si>
    <t>INV-FIT-02-9095</t>
  </si>
  <si>
    <t>Fit-Out</t>
  </si>
  <si>
    <t>FI-01</t>
  </si>
  <si>
    <t>Partitions &amp; Drywall</t>
  </si>
  <si>
    <t>Structure Tone</t>
  </si>
  <si>
    <t>PO-70811</t>
  </si>
  <si>
    <t>INV-FIT-03-6295</t>
  </si>
  <si>
    <t>PO-92210</t>
  </si>
  <si>
    <t>INV-FIT-04-3473</t>
  </si>
  <si>
    <t>PO-67640</t>
  </si>
  <si>
    <t>INV-FIT-05-8682</t>
  </si>
  <si>
    <t>PO-67961</t>
  </si>
  <si>
    <t>INV-FIT-06-5500</t>
  </si>
  <si>
    <t>PO-87518</t>
  </si>
  <si>
    <t>INV-FIT-07-6766</t>
  </si>
  <si>
    <t>PO-76497</t>
  </si>
  <si>
    <t>INV-FIT-08-6085</t>
  </si>
  <si>
    <t>PO-70521</t>
  </si>
  <si>
    <t>INV-FIT-09-1616</t>
  </si>
  <si>
    <t>PO-17456</t>
  </si>
  <si>
    <t>INV-FIT-10-5703</t>
  </si>
  <si>
    <t>PO-20057</t>
  </si>
  <si>
    <t>INV-FIT-11-9307</t>
  </si>
  <si>
    <t>PO-60394</t>
  </si>
  <si>
    <t>INV-FIT-12-1672</t>
  </si>
  <si>
    <t>PO-68947</t>
  </si>
  <si>
    <t>INV-FIT-02-8792</t>
  </si>
  <si>
    <t>FI-02</t>
  </si>
  <si>
    <t>Raised Access Flooring</t>
  </si>
  <si>
    <t>Sciame Construction</t>
  </si>
  <si>
    <t>PO-75715</t>
  </si>
  <si>
    <t>INV-FIT-03-2013</t>
  </si>
  <si>
    <t>PO-69050</t>
  </si>
  <si>
    <t>INV-FIT-04-6626</t>
  </si>
  <si>
    <t>PO-21053</t>
  </si>
  <si>
    <t>INV-FIT-05-1641</t>
  </si>
  <si>
    <t>PO-42472</t>
  </si>
  <si>
    <t>INV-FIT-06-8199</t>
  </si>
  <si>
    <t>PO-78690</t>
  </si>
  <si>
    <t>INV-FIT-07-6962</t>
  </si>
  <si>
    <t>PO-58870</t>
  </si>
  <si>
    <t>INV-FIT-08-7347</t>
  </si>
  <si>
    <t>PO-63578</t>
  </si>
  <si>
    <t>INV-FIT-09-1857</t>
  </si>
  <si>
    <t>PO-92691</t>
  </si>
  <si>
    <t>INV-FIT-10-2079</t>
  </si>
  <si>
    <t>PO-53213</t>
  </si>
  <si>
    <t>INV-FIT-11-7333</t>
  </si>
  <si>
    <t>PO-47243</t>
  </si>
  <si>
    <t>INV-FIT-12-3463</t>
  </si>
  <si>
    <t>PO-53694</t>
  </si>
  <si>
    <t>INV-FIT-02-3317</t>
  </si>
  <si>
    <t>FI-03</t>
  </si>
  <si>
    <t>Suspended Ceilings</t>
  </si>
  <si>
    <t>Hunter Roberts</t>
  </si>
  <si>
    <t>PO-55851</t>
  </si>
  <si>
    <t>INV-FIT-03-7421</t>
  </si>
  <si>
    <t>PO-26901</t>
  </si>
  <si>
    <t>INV-FIT-04-6072</t>
  </si>
  <si>
    <t>PO-83259</t>
  </si>
  <si>
    <t>INV-FIT-05-6381</t>
  </si>
  <si>
    <t>PO-26750</t>
  </si>
  <si>
    <t>INV-FIT-06-7937</t>
  </si>
  <si>
    <t>PO-76648</t>
  </si>
  <si>
    <t>INV-FIT-07-1298</t>
  </si>
  <si>
    <t>PO-57526</t>
  </si>
  <si>
    <t>INV-FIT-08-3953</t>
  </si>
  <si>
    <t>PO-38074</t>
  </si>
  <si>
    <t>INV-FIT-09-8967</t>
  </si>
  <si>
    <t>PO-35166</t>
  </si>
  <si>
    <t>INV-FIT-10-3253</t>
  </si>
  <si>
    <t>PO-30308</t>
  </si>
  <si>
    <t>INV-FIT-11-5846</t>
  </si>
  <si>
    <t>PO-23256</t>
  </si>
  <si>
    <t>INV-FIT-12-6517</t>
  </si>
  <si>
    <t>PO-91006</t>
  </si>
  <si>
    <t>INV-FIT-02-7172</t>
  </si>
  <si>
    <t>FI-04</t>
  </si>
  <si>
    <t>Doors &amp; Hardware</t>
  </si>
  <si>
    <t>PO-30218</t>
  </si>
  <si>
    <t>INV-FIT-03-3962</t>
  </si>
  <si>
    <t>PO-91885</t>
  </si>
  <si>
    <t>INV-FIT-04-8170</t>
  </si>
  <si>
    <t>PO-15726</t>
  </si>
  <si>
    <t>INV-FIT-05-6968</t>
  </si>
  <si>
    <t>PO-98652</t>
  </si>
  <si>
    <t>INV-FIT-06-8277</t>
  </si>
  <si>
    <t>PO-90031</t>
  </si>
  <si>
    <t>INV-FIT-07-8355</t>
  </si>
  <si>
    <t>PO-40671</t>
  </si>
  <si>
    <t>INV-FIT-08-6070</t>
  </si>
  <si>
    <t>PO-71474</t>
  </si>
  <si>
    <t>INV-FIT-09-7026</t>
  </si>
  <si>
    <t>PO-98907</t>
  </si>
  <si>
    <t>INV-FIT-10-8564</t>
  </si>
  <si>
    <t>PO-46932</t>
  </si>
  <si>
    <t>INV-FIT-11-9239</t>
  </si>
  <si>
    <t>PO-79135</t>
  </si>
  <si>
    <t>INV-FIT-12-3655</t>
  </si>
  <si>
    <t>PO-36174</t>
  </si>
  <si>
    <t>INV-FIT-02-1854</t>
  </si>
  <si>
    <t>FI-05</t>
  </si>
  <si>
    <t>Glazing &amp; Curtain Wall</t>
  </si>
  <si>
    <t>PO-94040</t>
  </si>
  <si>
    <t>INV-FIT-03-7081</t>
  </si>
  <si>
    <t>PO-82684</t>
  </si>
  <si>
    <t>INV-FIT-04-9452</t>
  </si>
  <si>
    <t>PO-26341</t>
  </si>
  <si>
    <t>INV-FIT-05-2374</t>
  </si>
  <si>
    <t>PO-31012</t>
  </si>
  <si>
    <t>INV-FIT-06-8361</t>
  </si>
  <si>
    <t>PO-77286</t>
  </si>
  <si>
    <t>INV-FIT-07-8167</t>
  </si>
  <si>
    <t>PO-22021</t>
  </si>
  <si>
    <t>INV-FIT-08-8391</t>
  </si>
  <si>
    <t>PO-55820</t>
  </si>
  <si>
    <t>INV-FIT-09-7797</t>
  </si>
  <si>
    <t>PO-16980</t>
  </si>
  <si>
    <t>INV-FIT-10-9224</t>
  </si>
  <si>
    <t>PO-59015</t>
  </si>
  <si>
    <t>INV-FIT-11-7326</t>
  </si>
  <si>
    <t>PO-20696</t>
  </si>
  <si>
    <t>INV-FIT-12-4678</t>
  </si>
  <si>
    <t>PO-13694</t>
  </si>
  <si>
    <t>INV-FIT-02-6493</t>
  </si>
  <si>
    <t>FI-06</t>
  </si>
  <si>
    <t>Floor Finishes</t>
  </si>
  <si>
    <t>PO-29142</t>
  </si>
  <si>
    <t>INV-FIT-03-1627</t>
  </si>
  <si>
    <t>PO-47601</t>
  </si>
  <si>
    <t>INV-FIT-04-3273</t>
  </si>
  <si>
    <t>PO-71487</t>
  </si>
  <si>
    <t>INV-FIT-05-1086</t>
  </si>
  <si>
    <t>PO-20384</t>
  </si>
  <si>
    <t>INV-FIT-06-5193</t>
  </si>
  <si>
    <t>PO-38266</t>
  </si>
  <si>
    <t>INV-FIT-07-9991</t>
  </si>
  <si>
    <t>PO-89807</t>
  </si>
  <si>
    <t>INV-FIT-08-2821</t>
  </si>
  <si>
    <t>PO-47762</t>
  </si>
  <si>
    <t>INV-FIT-09-5934</t>
  </si>
  <si>
    <t>PO-25970</t>
  </si>
  <si>
    <t>INV-FIT-10-4906</t>
  </si>
  <si>
    <t>PO-65027</t>
  </si>
  <si>
    <t>INV-FIT-11-2029</t>
  </si>
  <si>
    <t>PO-24530</t>
  </si>
  <si>
    <t>INV-FIT-12-9782</t>
  </si>
  <si>
    <t>PO-12154</t>
  </si>
  <si>
    <t>INV-FIT-02-3352</t>
  </si>
  <si>
    <t>FI-07</t>
  </si>
  <si>
    <t>Painting &amp; Decoration</t>
  </si>
  <si>
    <t>PO-48177</t>
  </si>
  <si>
    <t>INV-FIT-03-1025</t>
  </si>
  <si>
    <t>PO-90584</t>
  </si>
  <si>
    <t>INV-FIT-04-4941</t>
  </si>
  <si>
    <t>PO-84798</t>
  </si>
  <si>
    <t>INV-FIT-05-4068</t>
  </si>
  <si>
    <t>PO-97080</t>
  </si>
  <si>
    <t>INV-FIT-06-9576</t>
  </si>
  <si>
    <t>PO-57265</t>
  </si>
  <si>
    <t>INV-FIT-07-9618</t>
  </si>
  <si>
    <t>PO-81313</t>
  </si>
  <si>
    <t>INV-FIT-08-7397</t>
  </si>
  <si>
    <t>PO-71621</t>
  </si>
  <si>
    <t>INV-FIT-09-7338</t>
  </si>
  <si>
    <t>PO-58929</t>
  </si>
  <si>
    <t>INV-FIT-10-1266</t>
  </si>
  <si>
    <t>PO-56805</t>
  </si>
  <si>
    <t>INV-FIT-11-6649</t>
  </si>
  <si>
    <t>PO-41604</t>
  </si>
  <si>
    <t>INV-FIT-12-6447</t>
  </si>
  <si>
    <t>PO-27486</t>
  </si>
  <si>
    <t>INV-FIT-02-9945</t>
  </si>
  <si>
    <t>FI-08</t>
  </si>
  <si>
    <t>Joinery Works</t>
  </si>
  <si>
    <t>PO-54374</t>
  </si>
  <si>
    <t>INV-FIT-03-8612</t>
  </si>
  <si>
    <t>PO-72722</t>
  </si>
  <si>
    <t>INV-FIT-04-3209</t>
  </si>
  <si>
    <t>PO-18270</t>
  </si>
  <si>
    <t>INV-FIT-05-1605</t>
  </si>
  <si>
    <t>PO-48462</t>
  </si>
  <si>
    <t>INV-FIT-06-1717</t>
  </si>
  <si>
    <t>PO-36144</t>
  </si>
  <si>
    <t>INV-FIT-07-6170</t>
  </si>
  <si>
    <t>PO-50642</t>
  </si>
  <si>
    <t>INV-FIT-08-9897</t>
  </si>
  <si>
    <t>PO-72049</t>
  </si>
  <si>
    <t>INV-FIT-09-1599</t>
  </si>
  <si>
    <t>PO-94790</t>
  </si>
  <si>
    <t>INV-FIT-10-5687</t>
  </si>
  <si>
    <t>PO-56789</t>
  </si>
  <si>
    <t>INV-FIT-11-6438</t>
  </si>
  <si>
    <t>PO-45811</t>
  </si>
  <si>
    <t>INV-FIT-12-7029</t>
  </si>
  <si>
    <t>PO-67272</t>
  </si>
  <si>
    <t>INV-FIT-02-8204</t>
  </si>
  <si>
    <t>FI-09</t>
  </si>
  <si>
    <t>Signage &amp; Wayfinding</t>
  </si>
  <si>
    <t>PO-60678</t>
  </si>
  <si>
    <t>INV-FIT-03-4060</t>
  </si>
  <si>
    <t>PO-75038</t>
  </si>
  <si>
    <t>INV-FIT-04-7018</t>
  </si>
  <si>
    <t>PO-78062</t>
  </si>
  <si>
    <t>INV-FIT-05-2353</t>
  </si>
  <si>
    <t>PO-65640</t>
  </si>
  <si>
    <t>INV-FIT-06-8055</t>
  </si>
  <si>
    <t>PO-88964</t>
  </si>
  <si>
    <t>INV-FIT-07-9937</t>
  </si>
  <si>
    <t>PO-48504</t>
  </si>
  <si>
    <t>INV-FIT-08-2680</t>
  </si>
  <si>
    <t>PO-20494</t>
  </si>
  <si>
    <t>INV-FIT-09-5843</t>
  </si>
  <si>
    <t>PO-50173</t>
  </si>
  <si>
    <t>INV-FIT-10-7981</t>
  </si>
  <si>
    <t>PO-31842</t>
  </si>
  <si>
    <t>INV-FIT-11-6759</t>
  </si>
  <si>
    <t>PO-68606</t>
  </si>
  <si>
    <t>INV-FIT-12-6776</t>
  </si>
  <si>
    <t>PO-90589</t>
  </si>
  <si>
    <t>INV-FIT-02-1939</t>
  </si>
  <si>
    <t>FI-10</t>
  </si>
  <si>
    <t>Furniture Fit-Out</t>
  </si>
  <si>
    <t>PO-19835</t>
  </si>
  <si>
    <t>INV-FIT-03-6952</t>
  </si>
  <si>
    <t>PO-77251</t>
  </si>
  <si>
    <t>INV-FIT-04-1510</t>
  </si>
  <si>
    <t>PO-28714</t>
  </si>
  <si>
    <t>INV-FIT-05-1570</t>
  </si>
  <si>
    <t>PO-26545</t>
  </si>
  <si>
    <t>INV-FIT-06-4866</t>
  </si>
  <si>
    <t>PO-94562</t>
  </si>
  <si>
    <t>INV-FIT-07-6933</t>
  </si>
  <si>
    <t>PO-60181</t>
  </si>
  <si>
    <t>INV-FIT-08-3513</t>
  </si>
  <si>
    <t>PO-99006</t>
  </si>
  <si>
    <t>INV-FIT-09-7077</t>
  </si>
  <si>
    <t>PO-58760</t>
  </si>
  <si>
    <t>INV-FIT-10-2259</t>
  </si>
  <si>
    <t>PO-85225</t>
  </si>
  <si>
    <t>INV-FIT-11-9674</t>
  </si>
  <si>
    <t>PO-58096</t>
  </si>
  <si>
    <t>INV-FIT-12-6150</t>
  </si>
  <si>
    <t>PO-95139</t>
  </si>
  <si>
    <t>INV-PRE-01-2858</t>
  </si>
  <si>
    <t>Preliminaries</t>
  </si>
  <si>
    <t>PR-01</t>
  </si>
  <si>
    <t>Site Management Staff</t>
  </si>
  <si>
    <t>AECOM</t>
  </si>
  <si>
    <t>PO-13396</t>
  </si>
  <si>
    <t>INV-PRE-02-9176</t>
  </si>
  <si>
    <t>PO-77861</t>
  </si>
  <si>
    <t>INV-PRE-03-2929</t>
  </si>
  <si>
    <t>PO-44311</t>
  </si>
  <si>
    <t>INV-PRE-04-8311</t>
  </si>
  <si>
    <t>PO-38124</t>
  </si>
  <si>
    <t>INV-PRE-05-9047</t>
  </si>
  <si>
    <t>PO-36237</t>
  </si>
  <si>
    <t>INV-PRE-06-3223</t>
  </si>
  <si>
    <t>PO-19706</t>
  </si>
  <si>
    <t>INV-PRE-07-3828</t>
  </si>
  <si>
    <t>PO-68341</t>
  </si>
  <si>
    <t>INV-PRE-08-6236</t>
  </si>
  <si>
    <t>PO-97535</t>
  </si>
  <si>
    <t>INV-PRE-09-2063</t>
  </si>
  <si>
    <t>PO-82089</t>
  </si>
  <si>
    <t>INV-PRE-10-5914</t>
  </si>
  <si>
    <t>PO-30644</t>
  </si>
  <si>
    <t>INV-PRE-11-6922</t>
  </si>
  <si>
    <t>PO-76683</t>
  </si>
  <si>
    <t>INV-PRE-12-2988</t>
  </si>
  <si>
    <t>PO-36342</t>
  </si>
  <si>
    <t>INV-PRE-01-9094</t>
  </si>
  <si>
    <t>PR-02</t>
  </si>
  <si>
    <t>Temporary Site Offices</t>
  </si>
  <si>
    <t>PO-13445</t>
  </si>
  <si>
    <t>INV-PRE-02-7044</t>
  </si>
  <si>
    <t>PO-71263</t>
  </si>
  <si>
    <t>INV-PRE-03-2412</t>
  </si>
  <si>
    <t>PO-18617</t>
  </si>
  <si>
    <t>INV-PRE-04-7523</t>
  </si>
  <si>
    <t>PO-72739</t>
  </si>
  <si>
    <t>INV-PRE-05-7708</t>
  </si>
  <si>
    <t>PO-85353</t>
  </si>
  <si>
    <t>INV-PRE-06-3053</t>
  </si>
  <si>
    <t>PO-51553</t>
  </si>
  <si>
    <t>INV-PRE-07-8372</t>
  </si>
  <si>
    <t>PO-71057</t>
  </si>
  <si>
    <t>INV-PRE-08-3102</t>
  </si>
  <si>
    <t>PO-82260</t>
  </si>
  <si>
    <t>INV-PRE-09-3114</t>
  </si>
  <si>
    <t>PO-66704</t>
  </si>
  <si>
    <t>INV-PRE-10-3034</t>
  </si>
  <si>
    <t>PO-77908</t>
  </si>
  <si>
    <t>INV-PRE-11-5982</t>
  </si>
  <si>
    <t>PO-31581</t>
  </si>
  <si>
    <t>INV-PRE-12-6286</t>
  </si>
  <si>
    <t>PO-39552</t>
  </si>
  <si>
    <t>INV-PRE-01-5653</t>
  </si>
  <si>
    <t>PR-03</t>
  </si>
  <si>
    <t>Plant &amp; Equipment Hire</t>
  </si>
  <si>
    <t>Cumming Group</t>
  </si>
  <si>
    <t>PO-20336</t>
  </si>
  <si>
    <t>INV-PRE-02-4216</t>
  </si>
  <si>
    <t>PO-93238</t>
  </si>
  <si>
    <t>INV-PRE-03-3050</t>
  </si>
  <si>
    <t>PO-91922</t>
  </si>
  <si>
    <t>INV-PRE-04-9740</t>
  </si>
  <si>
    <t>PO-22245</t>
  </si>
  <si>
    <t>INV-PRE-05-3526</t>
  </si>
  <si>
    <t>PO-32439</t>
  </si>
  <si>
    <t>INV-PRE-06-1674</t>
  </si>
  <si>
    <t>PO-13718</t>
  </si>
  <si>
    <t>INV-PRE-07-1744</t>
  </si>
  <si>
    <t>PO-94076</t>
  </si>
  <si>
    <t>INV-PRE-08-4453</t>
  </si>
  <si>
    <t>PO-84991</t>
  </si>
  <si>
    <t>INV-PRE-09-1496</t>
  </si>
  <si>
    <t>PO-75278</t>
  </si>
  <si>
    <t>INV-PRE-10-5949</t>
  </si>
  <si>
    <t>PO-73300</t>
  </si>
  <si>
    <t>INV-PRE-11-7653</t>
  </si>
  <si>
    <t>PO-48985</t>
  </si>
  <si>
    <t>INV-PRE-12-2195</t>
  </si>
  <si>
    <t>PO-17852</t>
  </si>
  <si>
    <t>INV-PRE-01-7809</t>
  </si>
  <si>
    <t>PR-04</t>
  </si>
  <si>
    <t>Safety &amp; Welfare</t>
  </si>
  <si>
    <t>WSP</t>
  </si>
  <si>
    <t>PO-73471</t>
  </si>
  <si>
    <t>INV-PRE-02-4342</t>
  </si>
  <si>
    <t>PO-54589</t>
  </si>
  <si>
    <t>INV-PRE-03-6121</t>
  </si>
  <si>
    <t>PO-51853</t>
  </si>
  <si>
    <t>INV-PRE-04-7532</t>
  </si>
  <si>
    <t>PO-27139</t>
  </si>
  <si>
    <t>INV-PRE-05-9437</t>
  </si>
  <si>
    <t>PO-83616</t>
  </si>
  <si>
    <t>INV-PRE-06-6228</t>
  </si>
  <si>
    <t>PO-41685</t>
  </si>
  <si>
    <t>INV-PRE-07-3007</t>
  </si>
  <si>
    <t>PO-45058</t>
  </si>
  <si>
    <t>INV-PRE-08-5061</t>
  </si>
  <si>
    <t>PO-28465</t>
  </si>
  <si>
    <t>INV-PRE-09-1829</t>
  </si>
  <si>
    <t>PO-48038</t>
  </si>
  <si>
    <t>INV-PRE-10-7850</t>
  </si>
  <si>
    <t>PO-42541</t>
  </si>
  <si>
    <t>INV-PRE-11-6364</t>
  </si>
  <si>
    <t>PO-85718</t>
  </si>
  <si>
    <t>INV-PRE-12-4110</t>
  </si>
  <si>
    <t>PO-30885</t>
  </si>
  <si>
    <t>INV-PRE-01-8648</t>
  </si>
  <si>
    <t>PR-05</t>
  </si>
  <si>
    <t>Insurances &amp; Bonds</t>
  </si>
  <si>
    <t>PO-75373</t>
  </si>
  <si>
    <t>INV-PRE-02-9148</t>
  </si>
  <si>
    <t>PO-13037</t>
  </si>
  <si>
    <t>INV-PRE-03-7442</t>
  </si>
  <si>
    <t>PO-76249</t>
  </si>
  <si>
    <t>INV-PRE-04-4944</t>
  </si>
  <si>
    <t>PO-38199</t>
  </si>
  <si>
    <t>INV-PRE-05-1797</t>
  </si>
  <si>
    <t>PO-16624</t>
  </si>
  <si>
    <t>INV-PRE-06-9108</t>
  </si>
  <si>
    <t>PO-88317</t>
  </si>
  <si>
    <t>INV-PRE-07-5681</t>
  </si>
  <si>
    <t>PO-80345</t>
  </si>
  <si>
    <t>INV-PRE-08-2761</t>
  </si>
  <si>
    <t>PO-66482</t>
  </si>
  <si>
    <t>INV-PRE-09-5333</t>
  </si>
  <si>
    <t>PO-57943</t>
  </si>
  <si>
    <t>INV-PRE-10-6995</t>
  </si>
  <si>
    <t>PO-15930</t>
  </si>
  <si>
    <t>INV-PRE-11-1838</t>
  </si>
  <si>
    <t>PO-84747</t>
  </si>
  <si>
    <t>INV-PRE-12-6939</t>
  </si>
  <si>
    <t>PO-82512</t>
  </si>
  <si>
    <t>INV-PRE-01-7329</t>
  </si>
  <si>
    <t>PR-06</t>
  </si>
  <si>
    <t>Quality Assurance</t>
  </si>
  <si>
    <t>PO-76093</t>
  </si>
  <si>
    <t>INV-PRE-02-5582</t>
  </si>
  <si>
    <t>PO-91689</t>
  </si>
  <si>
    <t>INV-PRE-03-3108</t>
  </si>
  <si>
    <t>PO-22672</t>
  </si>
  <si>
    <t>INV-PRE-04-7114</t>
  </si>
  <si>
    <t>PO-54444</t>
  </si>
  <si>
    <t>INV-PRE-05-3363</t>
  </si>
  <si>
    <t>PO-36090</t>
  </si>
  <si>
    <t>INV-PRE-06-9193</t>
  </si>
  <si>
    <t>PO-15276</t>
  </si>
  <si>
    <t>INV-PRE-07-1637</t>
  </si>
  <si>
    <t>PO-27961</t>
  </si>
  <si>
    <t>INV-PRE-08-8761</t>
  </si>
  <si>
    <t>PO-78069</t>
  </si>
  <si>
    <t>INV-PRE-09-3440</t>
  </si>
  <si>
    <t>PO-89463</t>
  </si>
  <si>
    <t>INV-PRE-10-6373</t>
  </si>
  <si>
    <t>PO-90356</t>
  </si>
  <si>
    <t>INV-PRE-11-3662</t>
  </si>
  <si>
    <t>PO-61505</t>
  </si>
  <si>
    <t>INV-PRE-12-6511</t>
  </si>
  <si>
    <t>PO-76494</t>
  </si>
  <si>
    <t>INV-PRE-01-5911</t>
  </si>
  <si>
    <t>PR-07</t>
  </si>
  <si>
    <t>Environmental Compliance</t>
  </si>
  <si>
    <t>PO-72245</t>
  </si>
  <si>
    <t>INV-PRE-02-7035</t>
  </si>
  <si>
    <t>PO-53416</t>
  </si>
  <si>
    <t>INV-PRE-03-7824</t>
  </si>
  <si>
    <t>PO-86507</t>
  </si>
  <si>
    <t>INV-PRE-04-1436</t>
  </si>
  <si>
    <t>PO-88238</t>
  </si>
  <si>
    <t>INV-PRE-05-5350</t>
  </si>
  <si>
    <t>PO-95929</t>
  </si>
  <si>
    <t>INV-PRE-06-1841</t>
  </si>
  <si>
    <t>PO-86483</t>
  </si>
  <si>
    <t>INV-PRE-07-3793</t>
  </si>
  <si>
    <t>PO-78712</t>
  </si>
  <si>
    <t>INV-PRE-08-3421</t>
  </si>
  <si>
    <t>PO-99224</t>
  </si>
  <si>
    <t>INV-PRE-09-1517</t>
  </si>
  <si>
    <t>PO-85047</t>
  </si>
  <si>
    <t>INV-PRE-10-4125</t>
  </si>
  <si>
    <t>PO-12482</t>
  </si>
  <si>
    <t>INV-PRE-11-6139</t>
  </si>
  <si>
    <t>PO-64890</t>
  </si>
  <si>
    <t>INV-PRE-12-7765</t>
  </si>
  <si>
    <t>PO-36724</t>
  </si>
  <si>
    <t>INV-PRE-01-8726</t>
  </si>
  <si>
    <t>PR-08</t>
  </si>
  <si>
    <t>Site Security</t>
  </si>
  <si>
    <t>PO-18163</t>
  </si>
  <si>
    <t>INV-PRE-02-9498</t>
  </si>
  <si>
    <t>PO-37176</t>
  </si>
  <si>
    <t>INV-PRE-03-8837</t>
  </si>
  <si>
    <t>PO-78875</t>
  </si>
  <si>
    <t>INV-PRE-04-6140</t>
  </si>
  <si>
    <t>PO-32699</t>
  </si>
  <si>
    <t>INV-PRE-05-9734</t>
  </si>
  <si>
    <t>PO-54869</t>
  </si>
  <si>
    <t>INV-PRE-06-5331</t>
  </si>
  <si>
    <t>PO-89963</t>
  </si>
  <si>
    <t>INV-PRE-07-4150</t>
  </si>
  <si>
    <t>PO-42311</t>
  </si>
  <si>
    <t>INV-PRE-08-5890</t>
  </si>
  <si>
    <t>PO-39473</t>
  </si>
  <si>
    <t>INV-PRE-09-5735</t>
  </si>
  <si>
    <t>PO-37168</t>
  </si>
  <si>
    <t>INV-PRE-10-6194</t>
  </si>
  <si>
    <t>PO-72888</t>
  </si>
  <si>
    <t>INV-PRE-11-5480</t>
  </si>
  <si>
    <t>PO-47721</t>
  </si>
  <si>
    <t>INV-PRE-12-9899</t>
  </si>
  <si>
    <t>PO-59767</t>
  </si>
  <si>
    <t>INV-PRE-01-3399</t>
  </si>
  <si>
    <t>PR-09</t>
  </si>
  <si>
    <t>Waste Management</t>
  </si>
  <si>
    <t>PO-48070</t>
  </si>
  <si>
    <t>INV-PRE-02-5712</t>
  </si>
  <si>
    <t>PO-20358</t>
  </si>
  <si>
    <t>INV-PRE-03-8247</t>
  </si>
  <si>
    <t>PO-95979</t>
  </si>
  <si>
    <t>INV-PRE-04-8849</t>
  </si>
  <si>
    <t>PO-38047</t>
  </si>
  <si>
    <t>INV-PRE-05-9824</t>
  </si>
  <si>
    <t>PO-45537</t>
  </si>
  <si>
    <t>INV-PRE-06-3249</t>
  </si>
  <si>
    <t>PO-24316</t>
  </si>
  <si>
    <t>INV-PRE-07-4972</t>
  </si>
  <si>
    <t>PO-16653</t>
  </si>
  <si>
    <t>INV-PRE-08-4814</t>
  </si>
  <si>
    <t>PO-16880</t>
  </si>
  <si>
    <t>INV-PRE-09-7771</t>
  </si>
  <si>
    <t>PO-53292</t>
  </si>
  <si>
    <t>INV-PRE-10-2647</t>
  </si>
  <si>
    <t>PO-99285</t>
  </si>
  <si>
    <t>INV-PRE-11-1084</t>
  </si>
  <si>
    <t>PO-82135</t>
  </si>
  <si>
    <t>INV-PRE-12-7666</t>
  </si>
  <si>
    <t>PO-95575</t>
  </si>
  <si>
    <t>INV-PRE-01-4267</t>
  </si>
  <si>
    <t>PR-10</t>
  </si>
  <si>
    <t>Small Tools &amp; Consumables</t>
  </si>
  <si>
    <t>PO-47649</t>
  </si>
  <si>
    <t>INV-PRE-02-5676</t>
  </si>
  <si>
    <t>INV-PRE-03-2465</t>
  </si>
  <si>
    <t>PO-95498</t>
  </si>
  <si>
    <t>INV-PRE-04-9767</t>
  </si>
  <si>
    <t>PO-14888</t>
  </si>
  <si>
    <t>INV-PRE-05-7846</t>
  </si>
  <si>
    <t>PO-33040</t>
  </si>
  <si>
    <t>INV-PRE-06-7504</t>
  </si>
  <si>
    <t>PO-74930</t>
  </si>
  <si>
    <t>INV-PRE-07-5742</t>
  </si>
  <si>
    <t>PO-14910</t>
  </si>
  <si>
    <t>INV-PRE-08-5888</t>
  </si>
  <si>
    <t>PO-84443</t>
  </si>
  <si>
    <t>INV-PRE-09-6489</t>
  </si>
  <si>
    <t>PO-47298</t>
  </si>
  <si>
    <t>INV-PRE-10-9901</t>
  </si>
  <si>
    <t>PO-78723</t>
  </si>
  <si>
    <t>INV-PRE-11-3198</t>
  </si>
  <si>
    <t>PO-76088</t>
  </si>
  <si>
    <t>INV-PRE-12-5470</t>
  </si>
  <si>
    <t>PO-35272</t>
  </si>
  <si>
    <t>Original_Budget</t>
  </si>
  <si>
    <t>Approved_Changes</t>
  </si>
  <si>
    <t>Contingency</t>
  </si>
  <si>
    <t>Current_Budget</t>
  </si>
  <si>
    <t>Month_No</t>
  </si>
  <si>
    <t>Approved_Budget</t>
  </si>
  <si>
    <t>Planned_Cumulative</t>
  </si>
  <si>
    <t>Planned_Monthly</t>
  </si>
  <si>
    <t>Actual_Cumulative</t>
  </si>
  <si>
    <t>Data_Available</t>
  </si>
  <si>
    <t>Yes</t>
  </si>
  <si>
    <t>No</t>
  </si>
  <si>
    <t>NYC Capital Infrastructure Project</t>
  </si>
  <si>
    <t>Construction Cost Variance Report</t>
  </si>
  <si>
    <t>Reporting Month:</t>
  </si>
  <si>
    <t>Trade Packages</t>
  </si>
  <si>
    <t>Approved Budget</t>
  </si>
  <si>
    <t>Actual to Date</t>
  </si>
  <si>
    <t>Variance($)</t>
  </si>
  <si>
    <t>Variance(%)</t>
  </si>
  <si>
    <t>Forecast Final Cost</t>
  </si>
  <si>
    <t>Contingency Used</t>
  </si>
  <si>
    <t>% Complete</t>
  </si>
  <si>
    <t>RAG Status</t>
  </si>
  <si>
    <t>Total</t>
  </si>
  <si>
    <t>Total Planned cummulative</t>
  </si>
  <si>
    <t>Total Actual Cummulative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</si>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</sst>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&quot;$&quot;#,##0.00"/>
    <numFmt numFmtId="171" formatCode="&quot;$&quot;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6" fontId="0" fillId="4" borderId="0" xfId="0" applyNumberFormat="1" applyFill="1"/>
    <xf numFmtId="0" fontId="3" fillId="5" borderId="0" xfId="0" applyFont="1" applyFill="1"/>
    <xf numFmtId="0" fontId="2" fillId="6" borderId="0" xfId="0" applyFont="1" applyFill="1"/>
    <xf numFmtId="44" fontId="3" fillId="5" borderId="0" xfId="1" applyFont="1" applyFill="1"/>
    <xf numFmtId="9" fontId="0" fillId="0" borderId="0" xfId="2" applyFont="1"/>
    <xf numFmtId="165" fontId="2" fillId="6" borderId="0" xfId="1" applyNumberFormat="1" applyFont="1" applyFill="1"/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5" fontId="0" fillId="0" borderId="0" xfId="1" applyNumberFormat="1" applyFont="1"/>
    <xf numFmtId="171" fontId="0" fillId="0" borderId="0" xfId="1" applyNumberFormat="1" applyFont="1"/>
    <xf numFmtId="171" fontId="2" fillId="6" borderId="0" xfId="0" applyNumberFormat="1" applyFont="1" applyFill="1"/>
    <xf numFmtId="171" fontId="0" fillId="0" borderId="0" xfId="0" applyNumberFormat="1"/>
    <xf numFmtId="16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color rgb="FFFF0000"/>
      </font>
    </dxf>
    <dxf>
      <font>
        <color theme="9"/>
      </font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S-Curve:</a:t>
            </a:r>
            <a:r>
              <a:rPr lang="en-US" baseline="0"/>
              <a:t> Planned vs Actual Spend (Cumulative)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SCurve_Chart!$C$1</c:f>
              <c:strCache>
                <c:ptCount val="1"/>
                <c:pt idx="0">
                  <c:v>Total Planned cummulative</c:v>
                </c:pt>
              </c:strCache>
            </c:strRef>
          </c:tx>
          <c:spPr>
            <a:ln w="28575" cap="rnd">
              <a:solidFill>
                <a:schemeClr val="accent1">
                  <a:alpha val="7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dash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CA-419D-9479-86FC8366B073}"/>
              </c:ext>
            </c:extLst>
          </c:dPt>
          <c:cat>
            <c:numRef>
              <c:f>SCurve_Chart!$B$2:$B$13</c:f>
              <c:numCache>
                <c:formatCode>d\-mmm</c:formatCode>
                <c:ptCount val="12"/>
                <c:pt idx="0">
                  <c:v>46046</c:v>
                </c:pt>
                <c:pt idx="1">
                  <c:v>46077</c:v>
                </c:pt>
                <c:pt idx="2">
                  <c:v>46105</c:v>
                </c:pt>
                <c:pt idx="3">
                  <c:v>46136</c:v>
                </c:pt>
                <c:pt idx="4">
                  <c:v>46166</c:v>
                </c:pt>
                <c:pt idx="5">
                  <c:v>46197</c:v>
                </c:pt>
                <c:pt idx="6">
                  <c:v>46227</c:v>
                </c:pt>
                <c:pt idx="7">
                  <c:v>46258</c:v>
                </c:pt>
                <c:pt idx="8">
                  <c:v>46289</c:v>
                </c:pt>
                <c:pt idx="9">
                  <c:v>46319</c:v>
                </c:pt>
                <c:pt idx="10">
                  <c:v>46350</c:v>
                </c:pt>
                <c:pt idx="11">
                  <c:v>46380</c:v>
                </c:pt>
              </c:numCache>
            </c:numRef>
          </c:cat>
          <c:val>
            <c:numRef>
              <c:f>SCurve_Chart!$C$2:$C$13</c:f>
              <c:numCache>
                <c:formatCode>"$"#,##0</c:formatCode>
                <c:ptCount val="12"/>
                <c:pt idx="0">
                  <c:v>3392030</c:v>
                </c:pt>
                <c:pt idx="1">
                  <c:v>8450080</c:v>
                </c:pt>
                <c:pt idx="2">
                  <c:v>15802170</c:v>
                </c:pt>
                <c:pt idx="3">
                  <c:v>26242310</c:v>
                </c:pt>
                <c:pt idx="4">
                  <c:v>40827510</c:v>
                </c:pt>
                <c:pt idx="5">
                  <c:v>58918770</c:v>
                </c:pt>
                <c:pt idx="6">
                  <c:v>79324060</c:v>
                </c:pt>
                <c:pt idx="7">
                  <c:v>99044320</c:v>
                </c:pt>
                <c:pt idx="8">
                  <c:v>117603560</c:v>
                </c:pt>
                <c:pt idx="9">
                  <c:v>132605740</c:v>
                </c:pt>
                <c:pt idx="10">
                  <c:v>144841880</c:v>
                </c:pt>
                <c:pt idx="11">
                  <c:v>155402000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CA-419D-9479-86FC8366B073}"/>
            </c:ext>
          </c:extLst>
        </c:ser>
        <c:ser>
          <c:idx val="1"/>
          <c:order val="1"/>
          <c:tx>
            <c:strRef>
              <c:f>SCurve_Chart!$D$1</c:f>
              <c:strCache>
                <c:ptCount val="1"/>
                <c:pt idx="0">
                  <c:v>Total Actual Cummulative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mpd="sng">
                <a:solidFill>
                  <a:srgbClr val="FF0000"/>
                </a:solidFill>
              </a:ln>
              <a:effectLst/>
            </c:spPr>
          </c:marker>
          <c:cat>
            <c:numRef>
              <c:f>SCurve_Chart!$B$2:$B$13</c:f>
              <c:numCache>
                <c:formatCode>d\-mmm</c:formatCode>
                <c:ptCount val="12"/>
                <c:pt idx="0">
                  <c:v>46046</c:v>
                </c:pt>
                <c:pt idx="1">
                  <c:v>46077</c:v>
                </c:pt>
                <c:pt idx="2">
                  <c:v>46105</c:v>
                </c:pt>
                <c:pt idx="3">
                  <c:v>46136</c:v>
                </c:pt>
                <c:pt idx="4">
                  <c:v>46166</c:v>
                </c:pt>
                <c:pt idx="5">
                  <c:v>46197</c:v>
                </c:pt>
                <c:pt idx="6">
                  <c:v>46227</c:v>
                </c:pt>
                <c:pt idx="7">
                  <c:v>46258</c:v>
                </c:pt>
                <c:pt idx="8">
                  <c:v>46289</c:v>
                </c:pt>
                <c:pt idx="9">
                  <c:v>46319</c:v>
                </c:pt>
                <c:pt idx="10">
                  <c:v>46350</c:v>
                </c:pt>
                <c:pt idx="11">
                  <c:v>46380</c:v>
                </c:pt>
              </c:numCache>
            </c:numRef>
          </c:cat>
          <c:val>
            <c:numRef>
              <c:f>SCurve_Chart!$D$2:$D$13</c:f>
              <c:numCache>
                <c:formatCode>"$"#,##0</c:formatCode>
                <c:ptCount val="12"/>
                <c:pt idx="0">
                  <c:v>3519349.0699999994</c:v>
                </c:pt>
                <c:pt idx="1">
                  <c:v>8819448.3100000005</c:v>
                </c:pt>
                <c:pt idx="2">
                  <c:v>16559394.940000005</c:v>
                </c:pt>
                <c:pt idx="3">
                  <c:v>27619420.919999994</c:v>
                </c:pt>
                <c:pt idx="4">
                  <c:v>43187056.399999984</c:v>
                </c:pt>
                <c:pt idx="5">
                  <c:v>62265060.490000002</c:v>
                </c:pt>
                <c:pt idx="6">
                  <c:v>80251679.560000047</c:v>
                </c:pt>
                <c:pt idx="7">
                  <c:v>90693263.239999965</c:v>
                </c:pt>
                <c:pt idx="8">
                  <c:v>94971163.709999979</c:v>
                </c:pt>
                <c:pt idx="9">
                  <c:v>94971163.709999979</c:v>
                </c:pt>
                <c:pt idx="10">
                  <c:v>94971163.709999979</c:v>
                </c:pt>
                <c:pt idx="11">
                  <c:v>94971163.709999979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CA-419D-9479-86FC8366B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770239"/>
        <c:axId val="890759679"/>
      </c:lineChart>
      <c:dateAx>
        <c:axId val="890770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59679"/>
        <c:crosses val="autoZero"/>
        <c:auto val="1"/>
        <c:lblOffset val="100"/>
        <c:baseTimeUnit val="months"/>
      </c:dateAx>
      <c:valAx>
        <c:axId val="8907596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</a:t>
                </a:r>
                <a:r>
                  <a:rPr lang="en-US" baseline="0"/>
                  <a:t> Cost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7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S-Curve:</a:t>
            </a:r>
            <a:r>
              <a:rPr lang="en-US" baseline="0"/>
              <a:t> Planned vs Actual Spend (Cumulative)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SCurve_Chart!$C$1</c:f>
              <c:strCache>
                <c:ptCount val="1"/>
                <c:pt idx="0">
                  <c:v>Total Planned cummulative</c:v>
                </c:pt>
              </c:strCache>
            </c:strRef>
          </c:tx>
          <c:spPr>
            <a:ln w="28575" cap="rnd">
              <a:solidFill>
                <a:schemeClr val="accent1">
                  <a:alpha val="7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prstDash val="dash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E85-4835-BBD8-DA71233D8B7D}"/>
              </c:ext>
            </c:extLst>
          </c:dPt>
          <c:cat>
            <c:numRef>
              <c:f>SCurve_Chart!$B$2:$B$13</c:f>
              <c:numCache>
                <c:formatCode>d\-mmm</c:formatCode>
                <c:ptCount val="12"/>
                <c:pt idx="0">
                  <c:v>46046</c:v>
                </c:pt>
                <c:pt idx="1">
                  <c:v>46077</c:v>
                </c:pt>
                <c:pt idx="2">
                  <c:v>46105</c:v>
                </c:pt>
                <c:pt idx="3">
                  <c:v>46136</c:v>
                </c:pt>
                <c:pt idx="4">
                  <c:v>46166</c:v>
                </c:pt>
                <c:pt idx="5">
                  <c:v>46197</c:v>
                </c:pt>
                <c:pt idx="6">
                  <c:v>46227</c:v>
                </c:pt>
                <c:pt idx="7">
                  <c:v>46258</c:v>
                </c:pt>
                <c:pt idx="8">
                  <c:v>46289</c:v>
                </c:pt>
                <c:pt idx="9">
                  <c:v>46319</c:v>
                </c:pt>
                <c:pt idx="10">
                  <c:v>46350</c:v>
                </c:pt>
                <c:pt idx="11">
                  <c:v>46380</c:v>
                </c:pt>
              </c:numCache>
            </c:numRef>
          </c:cat>
          <c:val>
            <c:numRef>
              <c:f>SCurve_Chart!$C$2:$C$13</c:f>
              <c:numCache>
                <c:formatCode>"$"#,##0</c:formatCode>
                <c:ptCount val="12"/>
                <c:pt idx="0">
                  <c:v>3392030</c:v>
                </c:pt>
                <c:pt idx="1">
                  <c:v>8450080</c:v>
                </c:pt>
                <c:pt idx="2">
                  <c:v>15802170</c:v>
                </c:pt>
                <c:pt idx="3">
                  <c:v>26242310</c:v>
                </c:pt>
                <c:pt idx="4">
                  <c:v>40827510</c:v>
                </c:pt>
                <c:pt idx="5">
                  <c:v>58918770</c:v>
                </c:pt>
                <c:pt idx="6">
                  <c:v>79324060</c:v>
                </c:pt>
                <c:pt idx="7">
                  <c:v>99044320</c:v>
                </c:pt>
                <c:pt idx="8">
                  <c:v>117603560</c:v>
                </c:pt>
                <c:pt idx="9">
                  <c:v>132605740</c:v>
                </c:pt>
                <c:pt idx="10">
                  <c:v>144841880</c:v>
                </c:pt>
                <c:pt idx="11">
                  <c:v>155402000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5-4835-BBD8-DA71233D8B7D}"/>
            </c:ext>
          </c:extLst>
        </c:ser>
        <c:ser>
          <c:idx val="1"/>
          <c:order val="1"/>
          <c:tx>
            <c:strRef>
              <c:f>SCurve_Chart!$D$1</c:f>
              <c:strCache>
                <c:ptCount val="1"/>
                <c:pt idx="0">
                  <c:v>Total Actual Cummulative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mpd="sng">
                <a:solidFill>
                  <a:srgbClr val="FF0000"/>
                </a:solidFill>
              </a:ln>
              <a:effectLst/>
            </c:spPr>
          </c:marker>
          <c:cat>
            <c:numRef>
              <c:f>SCurve_Chart!$B$2:$B$13</c:f>
              <c:numCache>
                <c:formatCode>d\-mmm</c:formatCode>
                <c:ptCount val="12"/>
                <c:pt idx="0">
                  <c:v>46046</c:v>
                </c:pt>
                <c:pt idx="1">
                  <c:v>46077</c:v>
                </c:pt>
                <c:pt idx="2">
                  <c:v>46105</c:v>
                </c:pt>
                <c:pt idx="3">
                  <c:v>46136</c:v>
                </c:pt>
                <c:pt idx="4">
                  <c:v>46166</c:v>
                </c:pt>
                <c:pt idx="5">
                  <c:v>46197</c:v>
                </c:pt>
                <c:pt idx="6">
                  <c:v>46227</c:v>
                </c:pt>
                <c:pt idx="7">
                  <c:v>46258</c:v>
                </c:pt>
                <c:pt idx="8">
                  <c:v>46289</c:v>
                </c:pt>
                <c:pt idx="9">
                  <c:v>46319</c:v>
                </c:pt>
                <c:pt idx="10">
                  <c:v>46350</c:v>
                </c:pt>
                <c:pt idx="11">
                  <c:v>46380</c:v>
                </c:pt>
              </c:numCache>
            </c:numRef>
          </c:cat>
          <c:val>
            <c:numRef>
              <c:f>SCurve_Chart!$D$2:$D$13</c:f>
              <c:numCache>
                <c:formatCode>"$"#,##0</c:formatCode>
                <c:ptCount val="12"/>
                <c:pt idx="0">
                  <c:v>3519349.0699999994</c:v>
                </c:pt>
                <c:pt idx="1">
                  <c:v>8819448.3100000005</c:v>
                </c:pt>
                <c:pt idx="2">
                  <c:v>16559394.940000005</c:v>
                </c:pt>
                <c:pt idx="3">
                  <c:v>27619420.919999994</c:v>
                </c:pt>
                <c:pt idx="4">
                  <c:v>43187056.399999984</c:v>
                </c:pt>
                <c:pt idx="5">
                  <c:v>62265060.490000002</c:v>
                </c:pt>
                <c:pt idx="6">
                  <c:v>80251679.560000047</c:v>
                </c:pt>
                <c:pt idx="7">
                  <c:v>90693263.239999965</c:v>
                </c:pt>
                <c:pt idx="8">
                  <c:v>94971163.709999979</c:v>
                </c:pt>
                <c:pt idx="9">
                  <c:v>94971163.709999979</c:v>
                </c:pt>
                <c:pt idx="10">
                  <c:v>94971163.709999979</c:v>
                </c:pt>
                <c:pt idx="11">
                  <c:v>94971163.709999979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85-4835-BBD8-DA71233D8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770239"/>
        <c:axId val="890759679"/>
      </c:lineChart>
      <c:catAx>
        <c:axId val="890770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59679"/>
        <c:crosses val="autoZero"/>
        <c:auto val="0"/>
        <c:lblAlgn val="ctr"/>
        <c:lblOffset val="100"/>
        <c:noMultiLvlLbl val="0"/>
      </c:catAx>
      <c:valAx>
        <c:axId val="8907596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</a:t>
                </a:r>
                <a:r>
                  <a:rPr lang="en-US" baseline="0"/>
                  <a:t> Cost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77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</xdr:row>
      <xdr:rowOff>0</xdr:rowOff>
    </xdr:from>
    <xdr:to>
      <xdr:col>6</xdr:col>
      <xdr:colOff>390525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E02E5-CE7B-4618-BEE4-660B3C1A8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0</xdr:row>
      <xdr:rowOff>0</xdr:rowOff>
    </xdr:from>
    <xdr:to>
      <xdr:col>12</xdr:col>
      <xdr:colOff>473075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A23B08-54E6-9589-A4FD-4AEC4E524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C1A0E6-721D-492A-A84D-DD971B2659FC}" name="table_ledger" displayName="table_ledger" ref="A1:K687" totalsRowShown="0">
  <autoFilter ref="A1:K687" xr:uid="{BEC1A0E6-721D-492A-A84D-DD971B2659FC}"/>
  <tableColumns count="11">
    <tableColumn id="1" xr3:uid="{406044ED-1DFC-45C6-87F2-911D1DD0A80C}" name="Invoice_No"/>
    <tableColumn id="2" xr3:uid="{34957377-9229-4616-B070-DBD79551B976}" name="Month"/>
    <tableColumn id="3" xr3:uid="{50474550-169B-41B6-A6FF-9E0C19312A71}" name="Trade"/>
    <tableColumn id="4" xr3:uid="{911E14BF-78DE-4469-950D-CD577F8B7D0E}" name="Cost_Code"/>
    <tableColumn id="5" xr3:uid="{01604489-6BE7-4110-A96E-5E72D97062DE}" name="Description"/>
    <tableColumn id="6" xr3:uid="{0298BBA3-074F-4907-90F5-6ADA2E95DB90}" name="Contractor"/>
    <tableColumn id="7" xr3:uid="{D999740F-AFC2-431D-8213-034F02E0B3FF}" name="PO_Number"/>
    <tableColumn id="8" xr3:uid="{78B92294-BB05-4E43-BB62-CF80637E3887}" name="Planned_Cost"/>
    <tableColumn id="9" xr3:uid="{71FE733D-D1E6-4327-981B-4AC2D922E7F7}" name="Actual_Cost"/>
    <tableColumn id="10" xr3:uid="{0B38EF54-7240-4FE4-94D4-E50E55B4E575}" name="Status"/>
    <tableColumn id="11" xr3:uid="{9728E3E9-708C-49A2-BBE1-840364B5D38F}" name="Approved_B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A68BD4-F300-4CD4-A339-192477A79A57}" name="table_budget" displayName="table_budget" ref="A1:H59" totalsRowShown="0">
  <autoFilter ref="A1:H59" xr:uid="{03A68BD4-F300-4CD4-A339-192477A79A57}"/>
  <tableColumns count="8">
    <tableColumn id="1" xr3:uid="{56525324-A298-4B96-897B-0C45D40C1BD8}" name="Trade"/>
    <tableColumn id="2" xr3:uid="{D3471CAA-00C4-47E3-9CA3-994B77E8A9F6}" name="Cost_Code"/>
    <tableColumn id="3" xr3:uid="{608B1D46-1AD5-4BBB-8210-C9C0DB485AD2}" name="Description"/>
    <tableColumn id="4" xr3:uid="{E9484C0B-8862-4149-9DAA-2ABAB00F4028}" name="Original_Budget"/>
    <tableColumn id="5" xr3:uid="{A2D09A2A-CA76-44E6-8892-8C43FE828097}" name="Approved_Changes"/>
    <tableColumn id="6" xr3:uid="{EF01C0DA-760E-4B96-9A6A-616248E8D204}" name="Contingency"/>
    <tableColumn id="7" xr3:uid="{55857B2E-DB71-4E97-BCCF-62D1AB08A62A}" name="Contractor"/>
    <tableColumn id="8" xr3:uid="{EAC000B4-536E-4B3D-8035-ED5D885A9642}" name="Current_Budg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005168-B56F-4B59-94AC-325A9B2230AD}" name="table_monthly" displayName="table_monthly" ref="A1:H73" totalsRowShown="0">
  <autoFilter ref="A1:H73" xr:uid="{86005168-B56F-4B59-94AC-325A9B2230AD}"/>
  <tableColumns count="8">
    <tableColumn id="1" xr3:uid="{C7972DAD-47D2-4EBA-8082-7C6353D082B9}" name="Month"/>
    <tableColumn id="2" xr3:uid="{00A720C2-B4BD-4E20-8C6C-C5A7726A7BC7}" name="Month_No"/>
    <tableColumn id="3" xr3:uid="{26D0A84E-FD46-461B-940F-0B2B86F553F9}" name="Trade"/>
    <tableColumn id="4" xr3:uid="{7856E3F0-63F4-4880-B8B7-FFC082F3115B}" name="Approved_Budget"/>
    <tableColumn id="5" xr3:uid="{D82827D4-7018-4DDE-A4C9-BF77E68822F9}" name="Planned_Cumulative"/>
    <tableColumn id="6" xr3:uid="{13655DC5-38D1-4DF7-8F51-5A9F90A15B2E}" name="Planned_Monthly"/>
    <tableColumn id="7" xr3:uid="{A4E20941-6359-415C-A794-0769BB32E7D6}" name="Actual_Cumulative"/>
    <tableColumn id="8" xr3:uid="{29CE5A3D-5878-4AD0-B734-4252F9B2CBF0}" name="Data_Avail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3EF2-0FC6-498E-9AF6-4A353CBBE124}">
  <sheetPr>
    <tabColor theme="4" tint="0.79998168889431442"/>
  </sheetPr>
  <dimension ref="A1:K687"/>
  <sheetViews>
    <sheetView workbookViewId="0">
      <selection activeCell="M12" sqref="M12"/>
    </sheetView>
  </sheetViews>
  <sheetFormatPr defaultRowHeight="15" x14ac:dyDescent="0.25"/>
  <cols>
    <col min="1" max="1" width="12.7109375" customWidth="1"/>
    <col min="4" max="4" width="12.42578125" customWidth="1"/>
    <col min="5" max="5" width="13.28515625" customWidth="1"/>
    <col min="6" max="6" width="12.42578125" customWidth="1"/>
    <col min="7" max="7" width="13.42578125" customWidth="1"/>
    <col min="8" max="8" width="15.140625" customWidth="1"/>
    <col min="9" max="9" width="13.5703125" customWidth="1"/>
    <col min="11" max="11" width="14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88640</v>
      </c>
      <c r="I2">
        <v>100835.4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t="s">
        <v>14</v>
      </c>
      <c r="E3" t="s">
        <v>15</v>
      </c>
      <c r="F3" t="s">
        <v>16</v>
      </c>
      <c r="G3" t="s">
        <v>22</v>
      </c>
      <c r="H3">
        <v>110800</v>
      </c>
      <c r="I3">
        <v>113213.93</v>
      </c>
      <c r="J3" t="s">
        <v>18</v>
      </c>
      <c r="K3" t="s">
        <v>23</v>
      </c>
    </row>
    <row r="4" spans="1:11" x14ac:dyDescent="0.25">
      <c r="A4" t="s">
        <v>24</v>
      </c>
      <c r="B4" t="s">
        <v>25</v>
      </c>
      <c r="C4" t="s">
        <v>13</v>
      </c>
      <c r="D4" t="s">
        <v>14</v>
      </c>
      <c r="E4" t="s">
        <v>15</v>
      </c>
      <c r="F4" t="s">
        <v>16</v>
      </c>
      <c r="G4" t="s">
        <v>26</v>
      </c>
      <c r="H4">
        <v>132960</v>
      </c>
      <c r="I4">
        <v>138876.10999999999</v>
      </c>
      <c r="J4" t="s">
        <v>18</v>
      </c>
      <c r="K4" t="s">
        <v>27</v>
      </c>
    </row>
    <row r="5" spans="1:11" x14ac:dyDescent="0.25">
      <c r="A5" t="s">
        <v>28</v>
      </c>
      <c r="B5" t="s">
        <v>29</v>
      </c>
      <c r="C5" t="s">
        <v>13</v>
      </c>
      <c r="D5" t="s">
        <v>14</v>
      </c>
      <c r="E5" t="s">
        <v>15</v>
      </c>
      <c r="F5" t="s">
        <v>16</v>
      </c>
      <c r="G5" t="s">
        <v>30</v>
      </c>
      <c r="H5">
        <v>177280</v>
      </c>
      <c r="I5">
        <v>194588.33</v>
      </c>
      <c r="J5" t="s">
        <v>18</v>
      </c>
      <c r="K5" t="s">
        <v>27</v>
      </c>
    </row>
    <row r="6" spans="1:11" x14ac:dyDescent="0.25">
      <c r="A6" t="s">
        <v>31</v>
      </c>
      <c r="B6" t="s">
        <v>32</v>
      </c>
      <c r="C6" t="s">
        <v>13</v>
      </c>
      <c r="D6" t="s">
        <v>14</v>
      </c>
      <c r="E6" t="s">
        <v>15</v>
      </c>
      <c r="F6" t="s">
        <v>16</v>
      </c>
      <c r="G6" t="s">
        <v>33</v>
      </c>
      <c r="H6">
        <v>243760</v>
      </c>
      <c r="I6">
        <v>266958.08000000002</v>
      </c>
      <c r="J6" t="s">
        <v>18</v>
      </c>
      <c r="K6" t="s">
        <v>23</v>
      </c>
    </row>
    <row r="7" spans="1:11" x14ac:dyDescent="0.25">
      <c r="A7" t="s">
        <v>34</v>
      </c>
      <c r="B7" t="s">
        <v>35</v>
      </c>
      <c r="C7" t="s">
        <v>13</v>
      </c>
      <c r="D7" t="s">
        <v>14</v>
      </c>
      <c r="E7" t="s">
        <v>15</v>
      </c>
      <c r="F7" t="s">
        <v>16</v>
      </c>
      <c r="G7" t="s">
        <v>36</v>
      </c>
      <c r="H7">
        <v>288080</v>
      </c>
      <c r="I7">
        <v>321366.49</v>
      </c>
      <c r="J7" t="s">
        <v>18</v>
      </c>
      <c r="K7" t="s">
        <v>27</v>
      </c>
    </row>
    <row r="8" spans="1:11" x14ac:dyDescent="0.25">
      <c r="A8" t="s">
        <v>37</v>
      </c>
      <c r="B8" t="s">
        <v>38</v>
      </c>
      <c r="C8" t="s">
        <v>13</v>
      </c>
      <c r="D8" t="s">
        <v>14</v>
      </c>
      <c r="E8" t="s">
        <v>15</v>
      </c>
      <c r="F8" t="s">
        <v>16</v>
      </c>
      <c r="G8" t="s">
        <v>39</v>
      </c>
      <c r="H8">
        <v>288080</v>
      </c>
      <c r="I8">
        <v>275129.31</v>
      </c>
      <c r="J8" t="s">
        <v>18</v>
      </c>
      <c r="K8" t="s">
        <v>40</v>
      </c>
    </row>
    <row r="9" spans="1:11" x14ac:dyDescent="0.25">
      <c r="A9" t="s">
        <v>41</v>
      </c>
      <c r="B9" t="s">
        <v>42</v>
      </c>
      <c r="C9" t="s">
        <v>13</v>
      </c>
      <c r="D9" t="s">
        <v>14</v>
      </c>
      <c r="E9" t="s">
        <v>15</v>
      </c>
      <c r="F9" t="s">
        <v>16</v>
      </c>
      <c r="G9" t="s">
        <v>43</v>
      </c>
      <c r="H9">
        <v>265920</v>
      </c>
      <c r="I9">
        <v>264079.37</v>
      </c>
      <c r="J9" t="s">
        <v>18</v>
      </c>
      <c r="K9" t="s">
        <v>19</v>
      </c>
    </row>
    <row r="10" spans="1:11" x14ac:dyDescent="0.25">
      <c r="A10" t="s">
        <v>44</v>
      </c>
      <c r="B10" t="s">
        <v>45</v>
      </c>
      <c r="C10" t="s">
        <v>13</v>
      </c>
      <c r="D10" t="s">
        <v>14</v>
      </c>
      <c r="E10" t="s">
        <v>15</v>
      </c>
      <c r="F10" t="s">
        <v>16</v>
      </c>
      <c r="G10" t="s">
        <v>46</v>
      </c>
      <c r="H10">
        <v>221600</v>
      </c>
      <c r="I10">
        <v>221411.43</v>
      </c>
      <c r="J10" t="s">
        <v>18</v>
      </c>
      <c r="K10" t="s">
        <v>40</v>
      </c>
    </row>
    <row r="11" spans="1:11" x14ac:dyDescent="0.25">
      <c r="A11" t="s">
        <v>47</v>
      </c>
      <c r="B11" t="s">
        <v>48</v>
      </c>
      <c r="C11" t="s">
        <v>13</v>
      </c>
      <c r="D11" t="s">
        <v>14</v>
      </c>
      <c r="E11" t="s">
        <v>15</v>
      </c>
      <c r="F11" t="s">
        <v>16</v>
      </c>
      <c r="G11" t="s">
        <v>49</v>
      </c>
      <c r="H11">
        <v>177280</v>
      </c>
      <c r="I11">
        <v>0</v>
      </c>
      <c r="J11" t="s">
        <v>50</v>
      </c>
      <c r="K11" t="s">
        <v>23</v>
      </c>
    </row>
    <row r="12" spans="1:11" x14ac:dyDescent="0.25">
      <c r="A12" t="s">
        <v>51</v>
      </c>
      <c r="B12" t="s">
        <v>52</v>
      </c>
      <c r="C12" t="s">
        <v>13</v>
      </c>
      <c r="D12" t="s">
        <v>14</v>
      </c>
      <c r="E12" t="s">
        <v>15</v>
      </c>
      <c r="F12" t="s">
        <v>16</v>
      </c>
      <c r="G12" t="s">
        <v>53</v>
      </c>
      <c r="H12">
        <v>132960</v>
      </c>
      <c r="I12">
        <v>0</v>
      </c>
      <c r="J12" t="s">
        <v>50</v>
      </c>
      <c r="K12" t="s">
        <v>27</v>
      </c>
    </row>
    <row r="13" spans="1:11" x14ac:dyDescent="0.25">
      <c r="A13" t="s">
        <v>54</v>
      </c>
      <c r="B13" t="s">
        <v>55</v>
      </c>
      <c r="C13" t="s">
        <v>13</v>
      </c>
      <c r="D13" t="s">
        <v>14</v>
      </c>
      <c r="E13" t="s">
        <v>15</v>
      </c>
      <c r="F13" t="s">
        <v>16</v>
      </c>
      <c r="G13" t="s">
        <v>56</v>
      </c>
      <c r="H13">
        <v>88640</v>
      </c>
      <c r="I13">
        <v>0</v>
      </c>
      <c r="J13" t="s">
        <v>50</v>
      </c>
      <c r="K13" t="s">
        <v>27</v>
      </c>
    </row>
    <row r="14" spans="1:11" x14ac:dyDescent="0.25">
      <c r="A14" t="s">
        <v>57</v>
      </c>
      <c r="B14" t="s">
        <v>12</v>
      </c>
      <c r="C14" t="s">
        <v>13</v>
      </c>
      <c r="D14" t="s">
        <v>58</v>
      </c>
      <c r="E14" t="s">
        <v>59</v>
      </c>
      <c r="F14" t="s">
        <v>60</v>
      </c>
      <c r="G14" t="s">
        <v>61</v>
      </c>
      <c r="H14">
        <v>55320</v>
      </c>
      <c r="I14">
        <v>59412.33</v>
      </c>
      <c r="J14" t="s">
        <v>18</v>
      </c>
      <c r="K14" t="s">
        <v>19</v>
      </c>
    </row>
    <row r="15" spans="1:11" x14ac:dyDescent="0.25">
      <c r="A15" t="s">
        <v>62</v>
      </c>
      <c r="B15" t="s">
        <v>21</v>
      </c>
      <c r="C15" t="s">
        <v>13</v>
      </c>
      <c r="D15" t="s">
        <v>58</v>
      </c>
      <c r="E15" t="s">
        <v>59</v>
      </c>
      <c r="F15" t="s">
        <v>60</v>
      </c>
      <c r="G15" t="s">
        <v>63</v>
      </c>
      <c r="H15">
        <v>69150</v>
      </c>
      <c r="I15">
        <v>74087.289999999994</v>
      </c>
      <c r="J15" t="s">
        <v>18</v>
      </c>
      <c r="K15" t="s">
        <v>27</v>
      </c>
    </row>
    <row r="16" spans="1:11" x14ac:dyDescent="0.25">
      <c r="A16" t="s">
        <v>64</v>
      </c>
      <c r="B16" t="s">
        <v>25</v>
      </c>
      <c r="C16" t="s">
        <v>13</v>
      </c>
      <c r="D16" t="s">
        <v>58</v>
      </c>
      <c r="E16" t="s">
        <v>59</v>
      </c>
      <c r="F16" t="s">
        <v>60</v>
      </c>
      <c r="G16" t="s">
        <v>65</v>
      </c>
      <c r="H16">
        <v>82980</v>
      </c>
      <c r="I16">
        <v>85595.74</v>
      </c>
      <c r="J16" t="s">
        <v>18</v>
      </c>
      <c r="K16" t="s">
        <v>19</v>
      </c>
    </row>
    <row r="17" spans="1:11" x14ac:dyDescent="0.25">
      <c r="A17" t="s">
        <v>66</v>
      </c>
      <c r="B17" t="s">
        <v>29</v>
      </c>
      <c r="C17" t="s">
        <v>13</v>
      </c>
      <c r="D17" t="s">
        <v>58</v>
      </c>
      <c r="E17" t="s">
        <v>59</v>
      </c>
      <c r="F17" t="s">
        <v>60</v>
      </c>
      <c r="G17" t="s">
        <v>67</v>
      </c>
      <c r="H17">
        <v>110640</v>
      </c>
      <c r="I17">
        <v>117733.35</v>
      </c>
      <c r="J17" t="s">
        <v>18</v>
      </c>
      <c r="K17" t="s">
        <v>23</v>
      </c>
    </row>
    <row r="18" spans="1:11" x14ac:dyDescent="0.25">
      <c r="A18" t="s">
        <v>68</v>
      </c>
      <c r="B18" t="s">
        <v>32</v>
      </c>
      <c r="C18" t="s">
        <v>13</v>
      </c>
      <c r="D18" t="s">
        <v>58</v>
      </c>
      <c r="E18" t="s">
        <v>59</v>
      </c>
      <c r="F18" t="s">
        <v>60</v>
      </c>
      <c r="G18" t="s">
        <v>69</v>
      </c>
      <c r="H18">
        <v>152130</v>
      </c>
      <c r="I18">
        <v>174854.79</v>
      </c>
      <c r="J18" t="s">
        <v>18</v>
      </c>
      <c r="K18" t="s">
        <v>23</v>
      </c>
    </row>
    <row r="19" spans="1:11" x14ac:dyDescent="0.25">
      <c r="A19" t="s">
        <v>70</v>
      </c>
      <c r="B19" t="s">
        <v>35</v>
      </c>
      <c r="C19" t="s">
        <v>13</v>
      </c>
      <c r="D19" t="s">
        <v>58</v>
      </c>
      <c r="E19" t="s">
        <v>59</v>
      </c>
      <c r="F19" t="s">
        <v>60</v>
      </c>
      <c r="G19" t="s">
        <v>71</v>
      </c>
      <c r="H19">
        <v>179790</v>
      </c>
      <c r="I19">
        <v>204082.96</v>
      </c>
      <c r="J19" t="s">
        <v>18</v>
      </c>
      <c r="K19" t="s">
        <v>23</v>
      </c>
    </row>
    <row r="20" spans="1:11" x14ac:dyDescent="0.25">
      <c r="A20" t="s">
        <v>72</v>
      </c>
      <c r="B20" t="s">
        <v>38</v>
      </c>
      <c r="C20" t="s">
        <v>13</v>
      </c>
      <c r="D20" t="s">
        <v>58</v>
      </c>
      <c r="E20" t="s">
        <v>59</v>
      </c>
      <c r="F20" t="s">
        <v>60</v>
      </c>
      <c r="G20" t="s">
        <v>73</v>
      </c>
      <c r="H20">
        <v>179790</v>
      </c>
      <c r="I20">
        <v>182483.37</v>
      </c>
      <c r="J20" t="s">
        <v>18</v>
      </c>
      <c r="K20" t="s">
        <v>19</v>
      </c>
    </row>
    <row r="21" spans="1:11" x14ac:dyDescent="0.25">
      <c r="A21" t="s">
        <v>74</v>
      </c>
      <c r="B21" t="s">
        <v>42</v>
      </c>
      <c r="C21" t="s">
        <v>13</v>
      </c>
      <c r="D21" t="s">
        <v>58</v>
      </c>
      <c r="E21" t="s">
        <v>59</v>
      </c>
      <c r="F21" t="s">
        <v>60</v>
      </c>
      <c r="G21" t="s">
        <v>75</v>
      </c>
      <c r="H21">
        <v>165960</v>
      </c>
      <c r="I21">
        <v>161361.39000000001</v>
      </c>
      <c r="J21" t="s">
        <v>18</v>
      </c>
      <c r="K21" t="s">
        <v>19</v>
      </c>
    </row>
    <row r="22" spans="1:11" x14ac:dyDescent="0.25">
      <c r="A22" t="s">
        <v>76</v>
      </c>
      <c r="B22" t="s">
        <v>45</v>
      </c>
      <c r="C22" t="s">
        <v>13</v>
      </c>
      <c r="D22" t="s">
        <v>58</v>
      </c>
      <c r="E22" t="s">
        <v>59</v>
      </c>
      <c r="F22" t="s">
        <v>60</v>
      </c>
      <c r="G22" t="s">
        <v>77</v>
      </c>
      <c r="H22">
        <v>138300</v>
      </c>
      <c r="I22">
        <v>131408.45000000001</v>
      </c>
      <c r="J22" t="s">
        <v>18</v>
      </c>
      <c r="K22" t="s">
        <v>19</v>
      </c>
    </row>
    <row r="23" spans="1:11" x14ac:dyDescent="0.25">
      <c r="A23" t="s">
        <v>78</v>
      </c>
      <c r="B23" t="s">
        <v>48</v>
      </c>
      <c r="C23" t="s">
        <v>13</v>
      </c>
      <c r="D23" t="s">
        <v>58</v>
      </c>
      <c r="E23" t="s">
        <v>59</v>
      </c>
      <c r="F23" t="s">
        <v>60</v>
      </c>
      <c r="G23" t="s">
        <v>79</v>
      </c>
      <c r="H23">
        <v>110640</v>
      </c>
      <c r="I23">
        <v>0</v>
      </c>
      <c r="J23" t="s">
        <v>50</v>
      </c>
      <c r="K23" t="s">
        <v>19</v>
      </c>
    </row>
    <row r="24" spans="1:11" x14ac:dyDescent="0.25">
      <c r="A24" t="s">
        <v>80</v>
      </c>
      <c r="B24" t="s">
        <v>52</v>
      </c>
      <c r="C24" t="s">
        <v>13</v>
      </c>
      <c r="D24" t="s">
        <v>58</v>
      </c>
      <c r="E24" t="s">
        <v>59</v>
      </c>
      <c r="F24" t="s">
        <v>60</v>
      </c>
      <c r="G24" t="s">
        <v>81</v>
      </c>
      <c r="H24">
        <v>82980</v>
      </c>
      <c r="I24">
        <v>0</v>
      </c>
      <c r="J24" t="s">
        <v>50</v>
      </c>
      <c r="K24" t="s">
        <v>23</v>
      </c>
    </row>
    <row r="25" spans="1:11" x14ac:dyDescent="0.25">
      <c r="A25" t="s">
        <v>82</v>
      </c>
      <c r="B25" t="s">
        <v>55</v>
      </c>
      <c r="C25" t="s">
        <v>13</v>
      </c>
      <c r="D25" t="s">
        <v>58</v>
      </c>
      <c r="E25" t="s">
        <v>59</v>
      </c>
      <c r="F25" t="s">
        <v>60</v>
      </c>
      <c r="G25" t="s">
        <v>83</v>
      </c>
      <c r="H25">
        <v>55320</v>
      </c>
      <c r="I25">
        <v>0</v>
      </c>
      <c r="J25" t="s">
        <v>50</v>
      </c>
      <c r="K25" t="s">
        <v>23</v>
      </c>
    </row>
    <row r="26" spans="1:11" x14ac:dyDescent="0.25">
      <c r="A26" t="s">
        <v>84</v>
      </c>
      <c r="B26" t="s">
        <v>12</v>
      </c>
      <c r="C26" t="s">
        <v>13</v>
      </c>
      <c r="D26" t="s">
        <v>85</v>
      </c>
      <c r="E26" t="s">
        <v>86</v>
      </c>
      <c r="F26" t="s">
        <v>60</v>
      </c>
      <c r="G26" t="s">
        <v>87</v>
      </c>
      <c r="H26">
        <v>51200</v>
      </c>
      <c r="I26">
        <v>58661.18</v>
      </c>
      <c r="J26" t="s">
        <v>18</v>
      </c>
      <c r="K26" t="s">
        <v>23</v>
      </c>
    </row>
    <row r="27" spans="1:11" x14ac:dyDescent="0.25">
      <c r="A27" t="s">
        <v>88</v>
      </c>
      <c r="B27" t="s">
        <v>21</v>
      </c>
      <c r="C27" t="s">
        <v>13</v>
      </c>
      <c r="D27" t="s">
        <v>85</v>
      </c>
      <c r="E27" t="s">
        <v>86</v>
      </c>
      <c r="F27" t="s">
        <v>60</v>
      </c>
      <c r="G27" t="s">
        <v>89</v>
      </c>
      <c r="H27">
        <v>64000</v>
      </c>
      <c r="I27">
        <v>67433.990000000005</v>
      </c>
      <c r="J27" t="s">
        <v>18</v>
      </c>
      <c r="K27" t="s">
        <v>23</v>
      </c>
    </row>
    <row r="28" spans="1:11" x14ac:dyDescent="0.25">
      <c r="A28" t="s">
        <v>90</v>
      </c>
      <c r="B28" t="s">
        <v>25</v>
      </c>
      <c r="C28" t="s">
        <v>13</v>
      </c>
      <c r="D28" t="s">
        <v>85</v>
      </c>
      <c r="E28" t="s">
        <v>86</v>
      </c>
      <c r="F28" t="s">
        <v>60</v>
      </c>
      <c r="G28" t="s">
        <v>91</v>
      </c>
      <c r="H28">
        <v>76800</v>
      </c>
      <c r="I28">
        <v>78823.740000000005</v>
      </c>
      <c r="J28" t="s">
        <v>18</v>
      </c>
      <c r="K28" t="s">
        <v>40</v>
      </c>
    </row>
    <row r="29" spans="1:11" x14ac:dyDescent="0.25">
      <c r="A29" t="s">
        <v>92</v>
      </c>
      <c r="B29" t="s">
        <v>29</v>
      </c>
      <c r="C29" t="s">
        <v>13</v>
      </c>
      <c r="D29" t="s">
        <v>85</v>
      </c>
      <c r="E29" t="s">
        <v>86</v>
      </c>
      <c r="F29" t="s">
        <v>60</v>
      </c>
      <c r="G29" t="s">
        <v>93</v>
      </c>
      <c r="H29">
        <v>102400</v>
      </c>
      <c r="I29">
        <v>113865.06</v>
      </c>
      <c r="J29" t="s">
        <v>18</v>
      </c>
      <c r="K29" t="s">
        <v>23</v>
      </c>
    </row>
    <row r="30" spans="1:11" x14ac:dyDescent="0.25">
      <c r="A30" t="s">
        <v>94</v>
      </c>
      <c r="B30" t="s">
        <v>32</v>
      </c>
      <c r="C30" t="s">
        <v>13</v>
      </c>
      <c r="D30" t="s">
        <v>85</v>
      </c>
      <c r="E30" t="s">
        <v>86</v>
      </c>
      <c r="F30" t="s">
        <v>60</v>
      </c>
      <c r="G30" t="s">
        <v>95</v>
      </c>
      <c r="H30">
        <v>140800</v>
      </c>
      <c r="I30">
        <v>147668.60999999999</v>
      </c>
      <c r="J30" t="s">
        <v>18</v>
      </c>
      <c r="K30" t="s">
        <v>40</v>
      </c>
    </row>
    <row r="31" spans="1:11" x14ac:dyDescent="0.25">
      <c r="A31" t="s">
        <v>96</v>
      </c>
      <c r="B31" t="s">
        <v>35</v>
      </c>
      <c r="C31" t="s">
        <v>13</v>
      </c>
      <c r="D31" t="s">
        <v>85</v>
      </c>
      <c r="E31" t="s">
        <v>86</v>
      </c>
      <c r="F31" t="s">
        <v>60</v>
      </c>
      <c r="G31" t="s">
        <v>97</v>
      </c>
      <c r="H31">
        <v>166400</v>
      </c>
      <c r="I31">
        <v>187867.41</v>
      </c>
      <c r="J31" t="s">
        <v>18</v>
      </c>
      <c r="K31" t="s">
        <v>40</v>
      </c>
    </row>
    <row r="32" spans="1:11" x14ac:dyDescent="0.25">
      <c r="A32" t="s">
        <v>98</v>
      </c>
      <c r="B32" t="s">
        <v>38</v>
      </c>
      <c r="C32" t="s">
        <v>13</v>
      </c>
      <c r="D32" t="s">
        <v>85</v>
      </c>
      <c r="E32" t="s">
        <v>86</v>
      </c>
      <c r="F32" t="s">
        <v>60</v>
      </c>
      <c r="G32" t="s">
        <v>99</v>
      </c>
      <c r="H32">
        <v>166400</v>
      </c>
      <c r="I32">
        <v>159887.85</v>
      </c>
      <c r="J32" t="s">
        <v>18</v>
      </c>
      <c r="K32" t="s">
        <v>23</v>
      </c>
    </row>
    <row r="33" spans="1:11" x14ac:dyDescent="0.25">
      <c r="A33" t="s">
        <v>100</v>
      </c>
      <c r="B33" t="s">
        <v>42</v>
      </c>
      <c r="C33" t="s">
        <v>13</v>
      </c>
      <c r="D33" t="s">
        <v>85</v>
      </c>
      <c r="E33" t="s">
        <v>86</v>
      </c>
      <c r="F33" t="s">
        <v>60</v>
      </c>
      <c r="G33" t="s">
        <v>101</v>
      </c>
      <c r="H33">
        <v>153600</v>
      </c>
      <c r="I33">
        <v>154795.54</v>
      </c>
      <c r="J33" t="s">
        <v>18</v>
      </c>
      <c r="K33" t="s">
        <v>19</v>
      </c>
    </row>
    <row r="34" spans="1:11" x14ac:dyDescent="0.25">
      <c r="A34" t="s">
        <v>102</v>
      </c>
      <c r="B34" t="s">
        <v>45</v>
      </c>
      <c r="C34" t="s">
        <v>13</v>
      </c>
      <c r="D34" t="s">
        <v>85</v>
      </c>
      <c r="E34" t="s">
        <v>86</v>
      </c>
      <c r="F34" t="s">
        <v>60</v>
      </c>
      <c r="G34" t="s">
        <v>103</v>
      </c>
      <c r="H34">
        <v>128000</v>
      </c>
      <c r="I34">
        <v>124334</v>
      </c>
      <c r="J34" t="s">
        <v>18</v>
      </c>
      <c r="K34" t="s">
        <v>40</v>
      </c>
    </row>
    <row r="35" spans="1:11" x14ac:dyDescent="0.25">
      <c r="A35" t="s">
        <v>104</v>
      </c>
      <c r="B35" t="s">
        <v>48</v>
      </c>
      <c r="C35" t="s">
        <v>13</v>
      </c>
      <c r="D35" t="s">
        <v>85</v>
      </c>
      <c r="E35" t="s">
        <v>86</v>
      </c>
      <c r="F35" t="s">
        <v>60</v>
      </c>
      <c r="G35" t="s">
        <v>105</v>
      </c>
      <c r="H35">
        <v>102400</v>
      </c>
      <c r="I35">
        <v>0</v>
      </c>
      <c r="J35" t="s">
        <v>50</v>
      </c>
      <c r="K35" t="s">
        <v>23</v>
      </c>
    </row>
    <row r="36" spans="1:11" x14ac:dyDescent="0.25">
      <c r="A36" t="s">
        <v>106</v>
      </c>
      <c r="B36" t="s">
        <v>52</v>
      </c>
      <c r="C36" t="s">
        <v>13</v>
      </c>
      <c r="D36" t="s">
        <v>85</v>
      </c>
      <c r="E36" t="s">
        <v>86</v>
      </c>
      <c r="F36" t="s">
        <v>60</v>
      </c>
      <c r="G36" t="s">
        <v>107</v>
      </c>
      <c r="H36">
        <v>76800</v>
      </c>
      <c r="I36">
        <v>0</v>
      </c>
      <c r="J36" t="s">
        <v>50</v>
      </c>
      <c r="K36" t="s">
        <v>27</v>
      </c>
    </row>
    <row r="37" spans="1:11" x14ac:dyDescent="0.25">
      <c r="A37" t="s">
        <v>108</v>
      </c>
      <c r="B37" t="s">
        <v>55</v>
      </c>
      <c r="C37" t="s">
        <v>13</v>
      </c>
      <c r="D37" t="s">
        <v>85</v>
      </c>
      <c r="E37" t="s">
        <v>86</v>
      </c>
      <c r="F37" t="s">
        <v>60</v>
      </c>
      <c r="G37" t="s">
        <v>109</v>
      </c>
      <c r="H37">
        <v>51200</v>
      </c>
      <c r="I37">
        <v>0</v>
      </c>
      <c r="J37" t="s">
        <v>50</v>
      </c>
      <c r="K37" t="s">
        <v>23</v>
      </c>
    </row>
    <row r="38" spans="1:11" x14ac:dyDescent="0.25">
      <c r="A38" t="s">
        <v>110</v>
      </c>
      <c r="B38" t="s">
        <v>12</v>
      </c>
      <c r="C38" t="s">
        <v>13</v>
      </c>
      <c r="D38" t="s">
        <v>111</v>
      </c>
      <c r="E38" t="s">
        <v>112</v>
      </c>
      <c r="F38" t="s">
        <v>16</v>
      </c>
      <c r="G38" t="s">
        <v>113</v>
      </c>
      <c r="H38">
        <v>51200</v>
      </c>
      <c r="I38">
        <v>57715.59</v>
      </c>
      <c r="J38" t="s">
        <v>18</v>
      </c>
      <c r="K38" t="s">
        <v>40</v>
      </c>
    </row>
    <row r="39" spans="1:11" x14ac:dyDescent="0.25">
      <c r="A39" t="s">
        <v>114</v>
      </c>
      <c r="B39" t="s">
        <v>21</v>
      </c>
      <c r="C39" t="s">
        <v>13</v>
      </c>
      <c r="D39" t="s">
        <v>111</v>
      </c>
      <c r="E39" t="s">
        <v>112</v>
      </c>
      <c r="F39" t="s">
        <v>16</v>
      </c>
      <c r="G39" t="s">
        <v>115</v>
      </c>
      <c r="H39">
        <v>64000</v>
      </c>
      <c r="I39">
        <v>68156.88</v>
      </c>
      <c r="J39" t="s">
        <v>18</v>
      </c>
      <c r="K39" t="s">
        <v>40</v>
      </c>
    </row>
    <row r="40" spans="1:11" x14ac:dyDescent="0.25">
      <c r="A40" t="s">
        <v>116</v>
      </c>
      <c r="B40" t="s">
        <v>25</v>
      </c>
      <c r="C40" t="s">
        <v>13</v>
      </c>
      <c r="D40" t="s">
        <v>111</v>
      </c>
      <c r="E40" t="s">
        <v>112</v>
      </c>
      <c r="F40" t="s">
        <v>16</v>
      </c>
      <c r="G40" t="s">
        <v>117</v>
      </c>
      <c r="H40">
        <v>76800</v>
      </c>
      <c r="I40">
        <v>79338.33</v>
      </c>
      <c r="J40" t="s">
        <v>18</v>
      </c>
      <c r="K40" t="s">
        <v>19</v>
      </c>
    </row>
    <row r="41" spans="1:11" x14ac:dyDescent="0.25">
      <c r="A41" t="s">
        <v>118</v>
      </c>
      <c r="B41" t="s">
        <v>29</v>
      </c>
      <c r="C41" t="s">
        <v>13</v>
      </c>
      <c r="D41" t="s">
        <v>111</v>
      </c>
      <c r="E41" t="s">
        <v>112</v>
      </c>
      <c r="F41" t="s">
        <v>16</v>
      </c>
      <c r="G41" t="s">
        <v>119</v>
      </c>
      <c r="H41">
        <v>102400</v>
      </c>
      <c r="I41">
        <v>119269.51</v>
      </c>
      <c r="J41" t="s">
        <v>18</v>
      </c>
      <c r="K41" t="s">
        <v>27</v>
      </c>
    </row>
    <row r="42" spans="1:11" x14ac:dyDescent="0.25">
      <c r="A42" t="s">
        <v>120</v>
      </c>
      <c r="B42" t="s">
        <v>32</v>
      </c>
      <c r="C42" t="s">
        <v>13</v>
      </c>
      <c r="D42" t="s">
        <v>111</v>
      </c>
      <c r="E42" t="s">
        <v>112</v>
      </c>
      <c r="F42" t="s">
        <v>16</v>
      </c>
      <c r="G42" t="s">
        <v>121</v>
      </c>
      <c r="H42">
        <v>140800</v>
      </c>
      <c r="I42">
        <v>159141.26</v>
      </c>
      <c r="J42" t="s">
        <v>18</v>
      </c>
      <c r="K42" t="s">
        <v>19</v>
      </c>
    </row>
    <row r="43" spans="1:11" x14ac:dyDescent="0.25">
      <c r="A43" t="s">
        <v>122</v>
      </c>
      <c r="B43" t="s">
        <v>35</v>
      </c>
      <c r="C43" t="s">
        <v>13</v>
      </c>
      <c r="D43" t="s">
        <v>111</v>
      </c>
      <c r="E43" t="s">
        <v>112</v>
      </c>
      <c r="F43" t="s">
        <v>16</v>
      </c>
      <c r="G43" t="s">
        <v>123</v>
      </c>
      <c r="H43">
        <v>166400</v>
      </c>
      <c r="I43">
        <v>188412.08</v>
      </c>
      <c r="J43" t="s">
        <v>18</v>
      </c>
      <c r="K43" t="s">
        <v>40</v>
      </c>
    </row>
    <row r="44" spans="1:11" x14ac:dyDescent="0.25">
      <c r="A44" t="s">
        <v>124</v>
      </c>
      <c r="B44" t="s">
        <v>38</v>
      </c>
      <c r="C44" t="s">
        <v>13</v>
      </c>
      <c r="D44" t="s">
        <v>111</v>
      </c>
      <c r="E44" t="s">
        <v>112</v>
      </c>
      <c r="F44" t="s">
        <v>16</v>
      </c>
      <c r="G44" t="s">
        <v>125</v>
      </c>
      <c r="H44">
        <v>166400</v>
      </c>
      <c r="I44">
        <v>170308.85</v>
      </c>
      <c r="J44" t="s">
        <v>18</v>
      </c>
      <c r="K44" t="s">
        <v>27</v>
      </c>
    </row>
    <row r="45" spans="1:11" x14ac:dyDescent="0.25">
      <c r="A45" t="s">
        <v>126</v>
      </c>
      <c r="B45" t="s">
        <v>42</v>
      </c>
      <c r="C45" t="s">
        <v>13</v>
      </c>
      <c r="D45" t="s">
        <v>111</v>
      </c>
      <c r="E45" t="s">
        <v>112</v>
      </c>
      <c r="F45" t="s">
        <v>16</v>
      </c>
      <c r="G45" t="s">
        <v>127</v>
      </c>
      <c r="H45">
        <v>153600</v>
      </c>
      <c r="I45">
        <v>153811.21</v>
      </c>
      <c r="J45" t="s">
        <v>18</v>
      </c>
      <c r="K45" t="s">
        <v>23</v>
      </c>
    </row>
    <row r="46" spans="1:11" x14ac:dyDescent="0.25">
      <c r="A46" t="s">
        <v>128</v>
      </c>
      <c r="B46" t="s">
        <v>45</v>
      </c>
      <c r="C46" t="s">
        <v>13</v>
      </c>
      <c r="D46" t="s">
        <v>111</v>
      </c>
      <c r="E46" t="s">
        <v>112</v>
      </c>
      <c r="F46" t="s">
        <v>16</v>
      </c>
      <c r="G46" t="s">
        <v>129</v>
      </c>
      <c r="H46">
        <v>128000</v>
      </c>
      <c r="I46">
        <v>132065.99</v>
      </c>
      <c r="J46" t="s">
        <v>18</v>
      </c>
      <c r="K46" t="s">
        <v>19</v>
      </c>
    </row>
    <row r="47" spans="1:11" x14ac:dyDescent="0.25">
      <c r="A47" t="s">
        <v>130</v>
      </c>
      <c r="B47" t="s">
        <v>48</v>
      </c>
      <c r="C47" t="s">
        <v>13</v>
      </c>
      <c r="D47" t="s">
        <v>111</v>
      </c>
      <c r="E47" t="s">
        <v>112</v>
      </c>
      <c r="F47" t="s">
        <v>16</v>
      </c>
      <c r="G47" t="s">
        <v>131</v>
      </c>
      <c r="H47">
        <v>102400</v>
      </c>
      <c r="I47">
        <v>0</v>
      </c>
      <c r="J47" t="s">
        <v>50</v>
      </c>
      <c r="K47" t="s">
        <v>23</v>
      </c>
    </row>
    <row r="48" spans="1:11" x14ac:dyDescent="0.25">
      <c r="A48" t="s">
        <v>132</v>
      </c>
      <c r="B48" t="s">
        <v>52</v>
      </c>
      <c r="C48" t="s">
        <v>13</v>
      </c>
      <c r="D48" t="s">
        <v>111</v>
      </c>
      <c r="E48" t="s">
        <v>112</v>
      </c>
      <c r="F48" t="s">
        <v>16</v>
      </c>
      <c r="G48" t="s">
        <v>133</v>
      </c>
      <c r="H48">
        <v>76800</v>
      </c>
      <c r="I48">
        <v>0</v>
      </c>
      <c r="J48" t="s">
        <v>50</v>
      </c>
      <c r="K48" t="s">
        <v>23</v>
      </c>
    </row>
    <row r="49" spans="1:11" x14ac:dyDescent="0.25">
      <c r="A49" t="s">
        <v>134</v>
      </c>
      <c r="B49" t="s">
        <v>55</v>
      </c>
      <c r="C49" t="s">
        <v>13</v>
      </c>
      <c r="D49" t="s">
        <v>111</v>
      </c>
      <c r="E49" t="s">
        <v>112</v>
      </c>
      <c r="F49" t="s">
        <v>16</v>
      </c>
      <c r="G49" t="s">
        <v>135</v>
      </c>
      <c r="H49">
        <v>51200</v>
      </c>
      <c r="I49">
        <v>0</v>
      </c>
      <c r="J49" t="s">
        <v>50</v>
      </c>
      <c r="K49" t="s">
        <v>27</v>
      </c>
    </row>
    <row r="50" spans="1:11" x14ac:dyDescent="0.25">
      <c r="A50" t="s">
        <v>136</v>
      </c>
      <c r="B50" t="s">
        <v>12</v>
      </c>
      <c r="C50" t="s">
        <v>13</v>
      </c>
      <c r="D50" t="s">
        <v>137</v>
      </c>
      <c r="E50" t="s">
        <v>138</v>
      </c>
      <c r="F50" t="s">
        <v>16</v>
      </c>
      <c r="G50" t="s">
        <v>139</v>
      </c>
      <c r="H50">
        <v>172160</v>
      </c>
      <c r="I50">
        <v>185709.92</v>
      </c>
      <c r="J50" t="s">
        <v>18</v>
      </c>
      <c r="K50" t="s">
        <v>27</v>
      </c>
    </row>
    <row r="51" spans="1:11" x14ac:dyDescent="0.25">
      <c r="A51" t="s">
        <v>140</v>
      </c>
      <c r="B51" t="s">
        <v>21</v>
      </c>
      <c r="C51" t="s">
        <v>13</v>
      </c>
      <c r="D51" t="s">
        <v>137</v>
      </c>
      <c r="E51" t="s">
        <v>138</v>
      </c>
      <c r="F51" t="s">
        <v>16</v>
      </c>
      <c r="G51" t="s">
        <v>141</v>
      </c>
      <c r="H51">
        <v>215200</v>
      </c>
      <c r="I51">
        <v>221177</v>
      </c>
      <c r="J51" t="s">
        <v>18</v>
      </c>
      <c r="K51" t="s">
        <v>19</v>
      </c>
    </row>
    <row r="52" spans="1:11" x14ac:dyDescent="0.25">
      <c r="A52" t="s">
        <v>142</v>
      </c>
      <c r="B52" t="s">
        <v>25</v>
      </c>
      <c r="C52" t="s">
        <v>13</v>
      </c>
      <c r="D52" t="s">
        <v>137</v>
      </c>
      <c r="E52" t="s">
        <v>138</v>
      </c>
      <c r="F52" t="s">
        <v>16</v>
      </c>
      <c r="G52" t="s">
        <v>143</v>
      </c>
      <c r="H52">
        <v>258240</v>
      </c>
      <c r="I52">
        <v>262929.01</v>
      </c>
      <c r="J52" t="s">
        <v>18</v>
      </c>
      <c r="K52" t="s">
        <v>23</v>
      </c>
    </row>
    <row r="53" spans="1:11" x14ac:dyDescent="0.25">
      <c r="A53" t="s">
        <v>144</v>
      </c>
      <c r="B53" t="s">
        <v>29</v>
      </c>
      <c r="C53" t="s">
        <v>13</v>
      </c>
      <c r="D53" t="s">
        <v>137</v>
      </c>
      <c r="E53" t="s">
        <v>138</v>
      </c>
      <c r="F53" t="s">
        <v>16</v>
      </c>
      <c r="G53" t="s">
        <v>145</v>
      </c>
      <c r="H53">
        <v>344320</v>
      </c>
      <c r="I53">
        <v>376365.17</v>
      </c>
      <c r="J53" t="s">
        <v>18</v>
      </c>
      <c r="K53" t="s">
        <v>40</v>
      </c>
    </row>
    <row r="54" spans="1:11" x14ac:dyDescent="0.25">
      <c r="A54" t="s">
        <v>146</v>
      </c>
      <c r="B54" t="s">
        <v>32</v>
      </c>
      <c r="C54" t="s">
        <v>13</v>
      </c>
      <c r="D54" t="s">
        <v>137</v>
      </c>
      <c r="E54" t="s">
        <v>138</v>
      </c>
      <c r="F54" t="s">
        <v>16</v>
      </c>
      <c r="G54" t="s">
        <v>147</v>
      </c>
      <c r="H54">
        <v>473440</v>
      </c>
      <c r="I54">
        <v>514986.49</v>
      </c>
      <c r="J54" t="s">
        <v>18</v>
      </c>
      <c r="K54" t="s">
        <v>23</v>
      </c>
    </row>
    <row r="55" spans="1:11" x14ac:dyDescent="0.25">
      <c r="A55" t="s">
        <v>148</v>
      </c>
      <c r="B55" t="s">
        <v>35</v>
      </c>
      <c r="C55" t="s">
        <v>13</v>
      </c>
      <c r="D55" t="s">
        <v>137</v>
      </c>
      <c r="E55" t="s">
        <v>138</v>
      </c>
      <c r="F55" t="s">
        <v>16</v>
      </c>
      <c r="G55" t="s">
        <v>149</v>
      </c>
      <c r="H55">
        <v>559520</v>
      </c>
      <c r="I55">
        <v>592988</v>
      </c>
      <c r="J55" t="s">
        <v>18</v>
      </c>
      <c r="K55" t="s">
        <v>40</v>
      </c>
    </row>
    <row r="56" spans="1:11" x14ac:dyDescent="0.25">
      <c r="A56" t="s">
        <v>150</v>
      </c>
      <c r="B56" t="s">
        <v>38</v>
      </c>
      <c r="C56" t="s">
        <v>13</v>
      </c>
      <c r="D56" t="s">
        <v>137</v>
      </c>
      <c r="E56" t="s">
        <v>138</v>
      </c>
      <c r="F56" t="s">
        <v>16</v>
      </c>
      <c r="G56" t="s">
        <v>151</v>
      </c>
      <c r="H56">
        <v>559520</v>
      </c>
      <c r="I56">
        <v>569022.54</v>
      </c>
      <c r="J56" t="s">
        <v>18</v>
      </c>
      <c r="K56" t="s">
        <v>40</v>
      </c>
    </row>
    <row r="57" spans="1:11" x14ac:dyDescent="0.25">
      <c r="A57" t="s">
        <v>152</v>
      </c>
      <c r="B57" t="s">
        <v>42</v>
      </c>
      <c r="C57" t="s">
        <v>13</v>
      </c>
      <c r="D57" t="s">
        <v>137</v>
      </c>
      <c r="E57" t="s">
        <v>138</v>
      </c>
      <c r="F57" t="s">
        <v>16</v>
      </c>
      <c r="G57" t="s">
        <v>153</v>
      </c>
      <c r="H57">
        <v>516480</v>
      </c>
      <c r="I57">
        <v>504839.25</v>
      </c>
      <c r="J57" t="s">
        <v>18</v>
      </c>
      <c r="K57" t="s">
        <v>23</v>
      </c>
    </row>
    <row r="58" spans="1:11" x14ac:dyDescent="0.25">
      <c r="A58" t="s">
        <v>154</v>
      </c>
      <c r="B58" t="s">
        <v>45</v>
      </c>
      <c r="C58" t="s">
        <v>13</v>
      </c>
      <c r="D58" t="s">
        <v>137</v>
      </c>
      <c r="E58" t="s">
        <v>138</v>
      </c>
      <c r="F58" t="s">
        <v>16</v>
      </c>
      <c r="G58" t="s">
        <v>155</v>
      </c>
      <c r="H58">
        <v>430400</v>
      </c>
      <c r="I58">
        <v>416761.71</v>
      </c>
      <c r="J58" t="s">
        <v>18</v>
      </c>
      <c r="K58" t="s">
        <v>19</v>
      </c>
    </row>
    <row r="59" spans="1:11" x14ac:dyDescent="0.25">
      <c r="A59" t="s">
        <v>156</v>
      </c>
      <c r="B59" t="s">
        <v>48</v>
      </c>
      <c r="C59" t="s">
        <v>13</v>
      </c>
      <c r="D59" t="s">
        <v>137</v>
      </c>
      <c r="E59" t="s">
        <v>138</v>
      </c>
      <c r="F59" t="s">
        <v>16</v>
      </c>
      <c r="G59" t="s">
        <v>157</v>
      </c>
      <c r="H59">
        <v>344320</v>
      </c>
      <c r="I59">
        <v>0</v>
      </c>
      <c r="J59" t="s">
        <v>50</v>
      </c>
      <c r="K59" t="s">
        <v>40</v>
      </c>
    </row>
    <row r="60" spans="1:11" x14ac:dyDescent="0.25">
      <c r="A60" t="s">
        <v>158</v>
      </c>
      <c r="B60" t="s">
        <v>52</v>
      </c>
      <c r="C60" t="s">
        <v>13</v>
      </c>
      <c r="D60" t="s">
        <v>137</v>
      </c>
      <c r="E60" t="s">
        <v>138</v>
      </c>
      <c r="F60" t="s">
        <v>16</v>
      </c>
      <c r="G60" t="s">
        <v>159</v>
      </c>
      <c r="H60">
        <v>258240</v>
      </c>
      <c r="I60">
        <v>0</v>
      </c>
      <c r="J60" t="s">
        <v>50</v>
      </c>
      <c r="K60" t="s">
        <v>23</v>
      </c>
    </row>
    <row r="61" spans="1:11" x14ac:dyDescent="0.25">
      <c r="A61" t="s">
        <v>160</v>
      </c>
      <c r="B61" t="s">
        <v>55</v>
      </c>
      <c r="C61" t="s">
        <v>13</v>
      </c>
      <c r="D61" t="s">
        <v>137</v>
      </c>
      <c r="E61" t="s">
        <v>138</v>
      </c>
      <c r="F61" t="s">
        <v>16</v>
      </c>
      <c r="G61" t="s">
        <v>161</v>
      </c>
      <c r="H61">
        <v>172160</v>
      </c>
      <c r="I61">
        <v>0</v>
      </c>
      <c r="J61" t="s">
        <v>50</v>
      </c>
      <c r="K61" t="s">
        <v>27</v>
      </c>
    </row>
    <row r="62" spans="1:11" x14ac:dyDescent="0.25">
      <c r="A62" t="s">
        <v>162</v>
      </c>
      <c r="B62" t="s">
        <v>12</v>
      </c>
      <c r="C62" t="s">
        <v>13</v>
      </c>
      <c r="D62" t="s">
        <v>163</v>
      </c>
      <c r="E62" t="s">
        <v>164</v>
      </c>
      <c r="F62" t="s">
        <v>16</v>
      </c>
      <c r="G62" t="s">
        <v>165</v>
      </c>
      <c r="H62">
        <v>106160</v>
      </c>
      <c r="I62">
        <v>119939.92</v>
      </c>
      <c r="J62" t="s">
        <v>18</v>
      </c>
      <c r="K62" t="s">
        <v>23</v>
      </c>
    </row>
    <row r="63" spans="1:11" x14ac:dyDescent="0.25">
      <c r="A63" t="s">
        <v>166</v>
      </c>
      <c r="B63" t="s">
        <v>21</v>
      </c>
      <c r="C63" t="s">
        <v>13</v>
      </c>
      <c r="D63" t="s">
        <v>163</v>
      </c>
      <c r="E63" t="s">
        <v>164</v>
      </c>
      <c r="F63" t="s">
        <v>16</v>
      </c>
      <c r="G63" t="s">
        <v>167</v>
      </c>
      <c r="H63">
        <v>132700</v>
      </c>
      <c r="I63">
        <v>135611.17000000001</v>
      </c>
      <c r="J63" t="s">
        <v>18</v>
      </c>
      <c r="K63" t="s">
        <v>27</v>
      </c>
    </row>
    <row r="64" spans="1:11" x14ac:dyDescent="0.25">
      <c r="A64" t="s">
        <v>168</v>
      </c>
      <c r="B64" t="s">
        <v>25</v>
      </c>
      <c r="C64" t="s">
        <v>13</v>
      </c>
      <c r="D64" t="s">
        <v>163</v>
      </c>
      <c r="E64" t="s">
        <v>164</v>
      </c>
      <c r="F64" t="s">
        <v>16</v>
      </c>
      <c r="G64" t="s">
        <v>169</v>
      </c>
      <c r="H64">
        <v>159240</v>
      </c>
      <c r="I64">
        <v>174989</v>
      </c>
      <c r="J64" t="s">
        <v>18</v>
      </c>
      <c r="K64" t="s">
        <v>27</v>
      </c>
    </row>
    <row r="65" spans="1:11" x14ac:dyDescent="0.25">
      <c r="A65" t="s">
        <v>170</v>
      </c>
      <c r="B65" t="s">
        <v>29</v>
      </c>
      <c r="C65" t="s">
        <v>13</v>
      </c>
      <c r="D65" t="s">
        <v>163</v>
      </c>
      <c r="E65" t="s">
        <v>164</v>
      </c>
      <c r="F65" t="s">
        <v>16</v>
      </c>
      <c r="G65" t="s">
        <v>171</v>
      </c>
      <c r="H65">
        <v>212320</v>
      </c>
      <c r="I65">
        <v>226156.63</v>
      </c>
      <c r="J65" t="s">
        <v>18</v>
      </c>
      <c r="K65" t="s">
        <v>23</v>
      </c>
    </row>
    <row r="66" spans="1:11" x14ac:dyDescent="0.25">
      <c r="A66" t="s">
        <v>172</v>
      </c>
      <c r="B66" t="s">
        <v>32</v>
      </c>
      <c r="C66" t="s">
        <v>13</v>
      </c>
      <c r="D66" t="s">
        <v>163</v>
      </c>
      <c r="E66" t="s">
        <v>164</v>
      </c>
      <c r="F66" t="s">
        <v>16</v>
      </c>
      <c r="G66" t="s">
        <v>173</v>
      </c>
      <c r="H66">
        <v>291940</v>
      </c>
      <c r="I66">
        <v>336769.59</v>
      </c>
      <c r="J66" t="s">
        <v>18</v>
      </c>
      <c r="K66" t="s">
        <v>40</v>
      </c>
    </row>
    <row r="67" spans="1:11" x14ac:dyDescent="0.25">
      <c r="A67" t="s">
        <v>174</v>
      </c>
      <c r="B67" t="s">
        <v>35</v>
      </c>
      <c r="C67" t="s">
        <v>13</v>
      </c>
      <c r="D67" t="s">
        <v>163</v>
      </c>
      <c r="E67" t="s">
        <v>164</v>
      </c>
      <c r="F67" t="s">
        <v>16</v>
      </c>
      <c r="G67" t="s">
        <v>175</v>
      </c>
      <c r="H67">
        <v>345020</v>
      </c>
      <c r="I67">
        <v>384401.78</v>
      </c>
      <c r="J67" t="s">
        <v>18</v>
      </c>
      <c r="K67" t="s">
        <v>23</v>
      </c>
    </row>
    <row r="68" spans="1:11" x14ac:dyDescent="0.25">
      <c r="A68" t="s">
        <v>176</v>
      </c>
      <c r="B68" t="s">
        <v>38</v>
      </c>
      <c r="C68" t="s">
        <v>13</v>
      </c>
      <c r="D68" t="s">
        <v>163</v>
      </c>
      <c r="E68" t="s">
        <v>164</v>
      </c>
      <c r="F68" t="s">
        <v>16</v>
      </c>
      <c r="G68" t="s">
        <v>177</v>
      </c>
      <c r="H68">
        <v>345020</v>
      </c>
      <c r="I68">
        <v>329477.01</v>
      </c>
      <c r="J68" t="s">
        <v>18</v>
      </c>
      <c r="K68" t="s">
        <v>40</v>
      </c>
    </row>
    <row r="69" spans="1:11" x14ac:dyDescent="0.25">
      <c r="A69" t="s">
        <v>178</v>
      </c>
      <c r="B69" t="s">
        <v>42</v>
      </c>
      <c r="C69" t="s">
        <v>13</v>
      </c>
      <c r="D69" t="s">
        <v>163</v>
      </c>
      <c r="E69" t="s">
        <v>164</v>
      </c>
      <c r="F69" t="s">
        <v>16</v>
      </c>
      <c r="G69" t="s">
        <v>179</v>
      </c>
      <c r="H69">
        <v>318480</v>
      </c>
      <c r="I69">
        <v>300209.09999999998</v>
      </c>
      <c r="J69" t="s">
        <v>18</v>
      </c>
      <c r="K69" t="s">
        <v>27</v>
      </c>
    </row>
    <row r="70" spans="1:11" x14ac:dyDescent="0.25">
      <c r="A70" t="s">
        <v>180</v>
      </c>
      <c r="B70" t="s">
        <v>45</v>
      </c>
      <c r="C70" t="s">
        <v>13</v>
      </c>
      <c r="D70" t="s">
        <v>163</v>
      </c>
      <c r="E70" t="s">
        <v>164</v>
      </c>
      <c r="F70" t="s">
        <v>16</v>
      </c>
      <c r="G70" t="s">
        <v>181</v>
      </c>
      <c r="H70">
        <v>265400</v>
      </c>
      <c r="I70">
        <v>271034.62</v>
      </c>
      <c r="J70" t="s">
        <v>18</v>
      </c>
      <c r="K70" t="s">
        <v>40</v>
      </c>
    </row>
    <row r="71" spans="1:11" x14ac:dyDescent="0.25">
      <c r="A71" t="s">
        <v>182</v>
      </c>
      <c r="B71" t="s">
        <v>48</v>
      </c>
      <c r="C71" t="s">
        <v>13</v>
      </c>
      <c r="D71" t="s">
        <v>163</v>
      </c>
      <c r="E71" t="s">
        <v>164</v>
      </c>
      <c r="F71" t="s">
        <v>16</v>
      </c>
      <c r="G71" t="s">
        <v>183</v>
      </c>
      <c r="H71">
        <v>212320</v>
      </c>
      <c r="I71">
        <v>0</v>
      </c>
      <c r="J71" t="s">
        <v>50</v>
      </c>
      <c r="K71" t="s">
        <v>40</v>
      </c>
    </row>
    <row r="72" spans="1:11" x14ac:dyDescent="0.25">
      <c r="A72" t="s">
        <v>184</v>
      </c>
      <c r="B72" t="s">
        <v>52</v>
      </c>
      <c r="C72" t="s">
        <v>13</v>
      </c>
      <c r="D72" t="s">
        <v>163</v>
      </c>
      <c r="E72" t="s">
        <v>164</v>
      </c>
      <c r="F72" t="s">
        <v>16</v>
      </c>
      <c r="G72" t="s">
        <v>185</v>
      </c>
      <c r="H72">
        <v>159240</v>
      </c>
      <c r="I72">
        <v>0</v>
      </c>
      <c r="J72" t="s">
        <v>50</v>
      </c>
      <c r="K72" t="s">
        <v>27</v>
      </c>
    </row>
    <row r="73" spans="1:11" x14ac:dyDescent="0.25">
      <c r="A73" t="s">
        <v>186</v>
      </c>
      <c r="B73" t="s">
        <v>55</v>
      </c>
      <c r="C73" t="s">
        <v>13</v>
      </c>
      <c r="D73" t="s">
        <v>163</v>
      </c>
      <c r="E73" t="s">
        <v>164</v>
      </c>
      <c r="F73" t="s">
        <v>16</v>
      </c>
      <c r="G73" t="s">
        <v>187</v>
      </c>
      <c r="H73">
        <v>106160</v>
      </c>
      <c r="I73">
        <v>0</v>
      </c>
      <c r="J73" t="s">
        <v>50</v>
      </c>
      <c r="K73" t="s">
        <v>19</v>
      </c>
    </row>
    <row r="74" spans="1:11" x14ac:dyDescent="0.25">
      <c r="A74" t="s">
        <v>188</v>
      </c>
      <c r="B74" t="s">
        <v>12</v>
      </c>
      <c r="C74" t="s">
        <v>13</v>
      </c>
      <c r="D74" t="s">
        <v>189</v>
      </c>
      <c r="E74" t="s">
        <v>190</v>
      </c>
      <c r="F74" t="s">
        <v>191</v>
      </c>
      <c r="G74" t="s">
        <v>192</v>
      </c>
      <c r="H74">
        <v>41880</v>
      </c>
      <c r="I74">
        <v>48089.61</v>
      </c>
      <c r="J74" t="s">
        <v>18</v>
      </c>
      <c r="K74" t="s">
        <v>23</v>
      </c>
    </row>
    <row r="75" spans="1:11" x14ac:dyDescent="0.25">
      <c r="A75" t="s">
        <v>193</v>
      </c>
      <c r="B75" t="s">
        <v>21</v>
      </c>
      <c r="C75" t="s">
        <v>13</v>
      </c>
      <c r="D75" t="s">
        <v>189</v>
      </c>
      <c r="E75" t="s">
        <v>190</v>
      </c>
      <c r="F75" t="s">
        <v>191</v>
      </c>
      <c r="G75" t="s">
        <v>194</v>
      </c>
      <c r="H75">
        <v>52350</v>
      </c>
      <c r="I75">
        <v>56761.78</v>
      </c>
      <c r="J75" t="s">
        <v>18</v>
      </c>
      <c r="K75" t="s">
        <v>23</v>
      </c>
    </row>
    <row r="76" spans="1:11" x14ac:dyDescent="0.25">
      <c r="A76" t="s">
        <v>195</v>
      </c>
      <c r="B76" t="s">
        <v>25</v>
      </c>
      <c r="C76" t="s">
        <v>13</v>
      </c>
      <c r="D76" t="s">
        <v>189</v>
      </c>
      <c r="E76" t="s">
        <v>190</v>
      </c>
      <c r="F76" t="s">
        <v>191</v>
      </c>
      <c r="G76" t="s">
        <v>196</v>
      </c>
      <c r="H76">
        <v>62820</v>
      </c>
      <c r="I76">
        <v>68825.73</v>
      </c>
      <c r="J76" t="s">
        <v>18</v>
      </c>
      <c r="K76" t="s">
        <v>19</v>
      </c>
    </row>
    <row r="77" spans="1:11" x14ac:dyDescent="0.25">
      <c r="A77" t="s">
        <v>197</v>
      </c>
      <c r="B77" t="s">
        <v>29</v>
      </c>
      <c r="C77" t="s">
        <v>13</v>
      </c>
      <c r="D77" t="s">
        <v>189</v>
      </c>
      <c r="E77" t="s">
        <v>190</v>
      </c>
      <c r="F77" t="s">
        <v>191</v>
      </c>
      <c r="G77" t="s">
        <v>198</v>
      </c>
      <c r="H77">
        <v>83760</v>
      </c>
      <c r="I77">
        <v>89213.82</v>
      </c>
      <c r="J77" t="s">
        <v>18</v>
      </c>
      <c r="K77" t="s">
        <v>27</v>
      </c>
    </row>
    <row r="78" spans="1:11" x14ac:dyDescent="0.25">
      <c r="A78" t="s">
        <v>199</v>
      </c>
      <c r="B78" t="s">
        <v>32</v>
      </c>
      <c r="C78" t="s">
        <v>13</v>
      </c>
      <c r="D78" t="s">
        <v>189</v>
      </c>
      <c r="E78" t="s">
        <v>190</v>
      </c>
      <c r="F78" t="s">
        <v>191</v>
      </c>
      <c r="G78" t="s">
        <v>200</v>
      </c>
      <c r="H78">
        <v>115170</v>
      </c>
      <c r="I78">
        <v>124893.94</v>
      </c>
      <c r="J78" t="s">
        <v>18</v>
      </c>
      <c r="K78" t="s">
        <v>27</v>
      </c>
    </row>
    <row r="79" spans="1:11" x14ac:dyDescent="0.25">
      <c r="A79" t="s">
        <v>201</v>
      </c>
      <c r="B79" t="s">
        <v>35</v>
      </c>
      <c r="C79" t="s">
        <v>13</v>
      </c>
      <c r="D79" t="s">
        <v>189</v>
      </c>
      <c r="E79" t="s">
        <v>190</v>
      </c>
      <c r="F79" t="s">
        <v>191</v>
      </c>
      <c r="G79" t="s">
        <v>202</v>
      </c>
      <c r="H79">
        <v>136110</v>
      </c>
      <c r="I79">
        <v>141956.19</v>
      </c>
      <c r="J79" t="s">
        <v>18</v>
      </c>
      <c r="K79" t="s">
        <v>27</v>
      </c>
    </row>
    <row r="80" spans="1:11" x14ac:dyDescent="0.25">
      <c r="A80" t="s">
        <v>203</v>
      </c>
      <c r="B80" t="s">
        <v>38</v>
      </c>
      <c r="C80" t="s">
        <v>13</v>
      </c>
      <c r="D80" t="s">
        <v>189</v>
      </c>
      <c r="E80" t="s">
        <v>190</v>
      </c>
      <c r="F80" t="s">
        <v>191</v>
      </c>
      <c r="G80" t="s">
        <v>204</v>
      </c>
      <c r="H80">
        <v>136110</v>
      </c>
      <c r="I80">
        <v>138882.17000000001</v>
      </c>
      <c r="J80" t="s">
        <v>18</v>
      </c>
      <c r="K80" t="s">
        <v>23</v>
      </c>
    </row>
    <row r="81" spans="1:11" x14ac:dyDescent="0.25">
      <c r="A81" t="s">
        <v>205</v>
      </c>
      <c r="B81" t="s">
        <v>42</v>
      </c>
      <c r="C81" t="s">
        <v>13</v>
      </c>
      <c r="D81" t="s">
        <v>189</v>
      </c>
      <c r="E81" t="s">
        <v>190</v>
      </c>
      <c r="F81" t="s">
        <v>191</v>
      </c>
      <c r="G81" t="s">
        <v>206</v>
      </c>
      <c r="H81">
        <v>125640</v>
      </c>
      <c r="I81">
        <v>126129.21</v>
      </c>
      <c r="J81" t="s">
        <v>18</v>
      </c>
      <c r="K81" t="s">
        <v>40</v>
      </c>
    </row>
    <row r="82" spans="1:11" x14ac:dyDescent="0.25">
      <c r="A82" t="s">
        <v>207</v>
      </c>
      <c r="B82" t="s">
        <v>45</v>
      </c>
      <c r="C82" t="s">
        <v>13</v>
      </c>
      <c r="D82" t="s">
        <v>189</v>
      </c>
      <c r="E82" t="s">
        <v>190</v>
      </c>
      <c r="F82" t="s">
        <v>191</v>
      </c>
      <c r="G82" t="s">
        <v>208</v>
      </c>
      <c r="H82">
        <v>104700</v>
      </c>
      <c r="I82">
        <v>101900.21</v>
      </c>
      <c r="J82" t="s">
        <v>18</v>
      </c>
      <c r="K82" t="s">
        <v>27</v>
      </c>
    </row>
    <row r="83" spans="1:11" x14ac:dyDescent="0.25">
      <c r="A83" t="s">
        <v>209</v>
      </c>
      <c r="B83" t="s">
        <v>48</v>
      </c>
      <c r="C83" t="s">
        <v>13</v>
      </c>
      <c r="D83" t="s">
        <v>189</v>
      </c>
      <c r="E83" t="s">
        <v>190</v>
      </c>
      <c r="F83" t="s">
        <v>191</v>
      </c>
      <c r="G83" t="s">
        <v>210</v>
      </c>
      <c r="H83">
        <v>83760</v>
      </c>
      <c r="I83">
        <v>0</v>
      </c>
      <c r="J83" t="s">
        <v>50</v>
      </c>
      <c r="K83" t="s">
        <v>27</v>
      </c>
    </row>
    <row r="84" spans="1:11" x14ac:dyDescent="0.25">
      <c r="A84" t="s">
        <v>211</v>
      </c>
      <c r="B84" t="s">
        <v>52</v>
      </c>
      <c r="C84" t="s">
        <v>13</v>
      </c>
      <c r="D84" t="s">
        <v>189</v>
      </c>
      <c r="E84" t="s">
        <v>190</v>
      </c>
      <c r="F84" t="s">
        <v>191</v>
      </c>
      <c r="G84" t="s">
        <v>212</v>
      </c>
      <c r="H84">
        <v>62820</v>
      </c>
      <c r="I84">
        <v>0</v>
      </c>
      <c r="J84" t="s">
        <v>50</v>
      </c>
      <c r="K84" t="s">
        <v>40</v>
      </c>
    </row>
    <row r="85" spans="1:11" x14ac:dyDescent="0.25">
      <c r="A85" t="s">
        <v>213</v>
      </c>
      <c r="B85" t="s">
        <v>55</v>
      </c>
      <c r="C85" t="s">
        <v>13</v>
      </c>
      <c r="D85" t="s">
        <v>189</v>
      </c>
      <c r="E85" t="s">
        <v>190</v>
      </c>
      <c r="F85" t="s">
        <v>191</v>
      </c>
      <c r="G85" t="s">
        <v>214</v>
      </c>
      <c r="H85">
        <v>41880</v>
      </c>
      <c r="I85">
        <v>0</v>
      </c>
      <c r="J85" t="s">
        <v>50</v>
      </c>
      <c r="K85" t="s">
        <v>40</v>
      </c>
    </row>
    <row r="86" spans="1:11" x14ac:dyDescent="0.25">
      <c r="A86" t="s">
        <v>215</v>
      </c>
      <c r="B86" t="s">
        <v>12</v>
      </c>
      <c r="C86" t="s">
        <v>13</v>
      </c>
      <c r="D86" t="s">
        <v>216</v>
      </c>
      <c r="E86" t="s">
        <v>217</v>
      </c>
      <c r="F86" t="s">
        <v>191</v>
      </c>
      <c r="G86" t="s">
        <v>218</v>
      </c>
      <c r="H86">
        <v>91440</v>
      </c>
      <c r="I86">
        <v>98380.32</v>
      </c>
      <c r="J86" t="s">
        <v>18</v>
      </c>
      <c r="K86" t="s">
        <v>23</v>
      </c>
    </row>
    <row r="87" spans="1:11" x14ac:dyDescent="0.25">
      <c r="A87" t="s">
        <v>219</v>
      </c>
      <c r="B87" t="s">
        <v>21</v>
      </c>
      <c r="C87" t="s">
        <v>13</v>
      </c>
      <c r="D87" t="s">
        <v>216</v>
      </c>
      <c r="E87" t="s">
        <v>217</v>
      </c>
      <c r="F87" t="s">
        <v>191</v>
      </c>
      <c r="G87" t="s">
        <v>220</v>
      </c>
      <c r="H87">
        <v>114300</v>
      </c>
      <c r="I87">
        <v>118867.9</v>
      </c>
      <c r="J87" t="s">
        <v>18</v>
      </c>
      <c r="K87" t="s">
        <v>27</v>
      </c>
    </row>
    <row r="88" spans="1:11" x14ac:dyDescent="0.25">
      <c r="A88" t="s">
        <v>221</v>
      </c>
      <c r="B88" t="s">
        <v>25</v>
      </c>
      <c r="C88" t="s">
        <v>13</v>
      </c>
      <c r="D88" t="s">
        <v>216</v>
      </c>
      <c r="E88" t="s">
        <v>217</v>
      </c>
      <c r="F88" t="s">
        <v>191</v>
      </c>
      <c r="G88" t="s">
        <v>222</v>
      </c>
      <c r="H88">
        <v>137160</v>
      </c>
      <c r="I88">
        <v>143746.35999999999</v>
      </c>
      <c r="J88" t="s">
        <v>18</v>
      </c>
      <c r="K88" t="s">
        <v>27</v>
      </c>
    </row>
    <row r="89" spans="1:11" x14ac:dyDescent="0.25">
      <c r="A89" t="s">
        <v>223</v>
      </c>
      <c r="B89" t="s">
        <v>29</v>
      </c>
      <c r="C89" t="s">
        <v>13</v>
      </c>
      <c r="D89" t="s">
        <v>216</v>
      </c>
      <c r="E89" t="s">
        <v>217</v>
      </c>
      <c r="F89" t="s">
        <v>191</v>
      </c>
      <c r="G89" t="s">
        <v>224</v>
      </c>
      <c r="H89">
        <v>182880</v>
      </c>
      <c r="I89">
        <v>208125.43</v>
      </c>
      <c r="J89" t="s">
        <v>18</v>
      </c>
      <c r="K89" t="s">
        <v>23</v>
      </c>
    </row>
    <row r="90" spans="1:11" x14ac:dyDescent="0.25">
      <c r="A90" t="s">
        <v>225</v>
      </c>
      <c r="B90" t="s">
        <v>32</v>
      </c>
      <c r="C90" t="s">
        <v>13</v>
      </c>
      <c r="D90" t="s">
        <v>216</v>
      </c>
      <c r="E90" t="s">
        <v>217</v>
      </c>
      <c r="F90" t="s">
        <v>191</v>
      </c>
      <c r="G90" t="s">
        <v>226</v>
      </c>
      <c r="H90">
        <v>251460</v>
      </c>
      <c r="I90">
        <v>280410.92</v>
      </c>
      <c r="J90" t="s">
        <v>18</v>
      </c>
      <c r="K90" t="s">
        <v>27</v>
      </c>
    </row>
    <row r="91" spans="1:11" x14ac:dyDescent="0.25">
      <c r="A91" t="s">
        <v>227</v>
      </c>
      <c r="B91" t="s">
        <v>35</v>
      </c>
      <c r="C91" t="s">
        <v>13</v>
      </c>
      <c r="D91" t="s">
        <v>216</v>
      </c>
      <c r="E91" t="s">
        <v>217</v>
      </c>
      <c r="F91" t="s">
        <v>191</v>
      </c>
      <c r="G91" t="s">
        <v>228</v>
      </c>
      <c r="H91">
        <v>297180</v>
      </c>
      <c r="I91">
        <v>334806.87</v>
      </c>
      <c r="J91" t="s">
        <v>18</v>
      </c>
      <c r="K91" t="s">
        <v>27</v>
      </c>
    </row>
    <row r="92" spans="1:11" x14ac:dyDescent="0.25">
      <c r="A92" t="s">
        <v>229</v>
      </c>
      <c r="B92" t="s">
        <v>38</v>
      </c>
      <c r="C92" t="s">
        <v>13</v>
      </c>
      <c r="D92" t="s">
        <v>216</v>
      </c>
      <c r="E92" t="s">
        <v>217</v>
      </c>
      <c r="F92" t="s">
        <v>191</v>
      </c>
      <c r="G92" t="s">
        <v>230</v>
      </c>
      <c r="H92">
        <v>297180</v>
      </c>
      <c r="I92">
        <v>291794.99</v>
      </c>
      <c r="J92" t="s">
        <v>18</v>
      </c>
      <c r="K92" t="s">
        <v>27</v>
      </c>
    </row>
    <row r="93" spans="1:11" x14ac:dyDescent="0.25">
      <c r="A93" t="s">
        <v>231</v>
      </c>
      <c r="B93" t="s">
        <v>42</v>
      </c>
      <c r="C93" t="s">
        <v>13</v>
      </c>
      <c r="D93" t="s">
        <v>216</v>
      </c>
      <c r="E93" t="s">
        <v>217</v>
      </c>
      <c r="F93" t="s">
        <v>191</v>
      </c>
      <c r="G93" t="s">
        <v>232</v>
      </c>
      <c r="H93">
        <v>274320</v>
      </c>
      <c r="I93">
        <v>261685.67</v>
      </c>
      <c r="J93" t="s">
        <v>18</v>
      </c>
      <c r="K93" t="s">
        <v>27</v>
      </c>
    </row>
    <row r="94" spans="1:11" x14ac:dyDescent="0.25">
      <c r="A94" t="s">
        <v>233</v>
      </c>
      <c r="B94" t="s">
        <v>45</v>
      </c>
      <c r="C94" t="s">
        <v>13</v>
      </c>
      <c r="D94" t="s">
        <v>216</v>
      </c>
      <c r="E94" t="s">
        <v>217</v>
      </c>
      <c r="F94" t="s">
        <v>191</v>
      </c>
      <c r="G94" t="s">
        <v>234</v>
      </c>
      <c r="H94">
        <v>228600</v>
      </c>
      <c r="I94">
        <v>231140.03</v>
      </c>
      <c r="J94" t="s">
        <v>18</v>
      </c>
      <c r="K94" t="s">
        <v>19</v>
      </c>
    </row>
    <row r="95" spans="1:11" x14ac:dyDescent="0.25">
      <c r="A95" t="s">
        <v>235</v>
      </c>
      <c r="B95" t="s">
        <v>48</v>
      </c>
      <c r="C95" t="s">
        <v>13</v>
      </c>
      <c r="D95" t="s">
        <v>216</v>
      </c>
      <c r="E95" t="s">
        <v>217</v>
      </c>
      <c r="F95" t="s">
        <v>191</v>
      </c>
      <c r="G95" t="s">
        <v>236</v>
      </c>
      <c r="H95">
        <v>182880</v>
      </c>
      <c r="I95">
        <v>0</v>
      </c>
      <c r="J95" t="s">
        <v>50</v>
      </c>
      <c r="K95" t="s">
        <v>19</v>
      </c>
    </row>
    <row r="96" spans="1:11" x14ac:dyDescent="0.25">
      <c r="A96" t="s">
        <v>237</v>
      </c>
      <c r="B96" t="s">
        <v>52</v>
      </c>
      <c r="C96" t="s">
        <v>13</v>
      </c>
      <c r="D96" t="s">
        <v>216</v>
      </c>
      <c r="E96" t="s">
        <v>217</v>
      </c>
      <c r="F96" t="s">
        <v>191</v>
      </c>
      <c r="G96" t="s">
        <v>238</v>
      </c>
      <c r="H96">
        <v>137160</v>
      </c>
      <c r="I96">
        <v>0</v>
      </c>
      <c r="J96" t="s">
        <v>50</v>
      </c>
      <c r="K96" t="s">
        <v>40</v>
      </c>
    </row>
    <row r="97" spans="1:11" x14ac:dyDescent="0.25">
      <c r="A97" t="s">
        <v>239</v>
      </c>
      <c r="B97" t="s">
        <v>55</v>
      </c>
      <c r="C97" t="s">
        <v>13</v>
      </c>
      <c r="D97" t="s">
        <v>216</v>
      </c>
      <c r="E97" t="s">
        <v>217</v>
      </c>
      <c r="F97" t="s">
        <v>191</v>
      </c>
      <c r="G97" t="s">
        <v>240</v>
      </c>
      <c r="H97">
        <v>91440</v>
      </c>
      <c r="I97">
        <v>0</v>
      </c>
      <c r="J97" t="s">
        <v>50</v>
      </c>
      <c r="K97" t="s">
        <v>19</v>
      </c>
    </row>
    <row r="98" spans="1:11" x14ac:dyDescent="0.25">
      <c r="A98" t="s">
        <v>241</v>
      </c>
      <c r="B98" t="s">
        <v>12</v>
      </c>
      <c r="C98" t="s">
        <v>13</v>
      </c>
      <c r="D98" t="s">
        <v>242</v>
      </c>
      <c r="E98" t="s">
        <v>243</v>
      </c>
      <c r="F98" t="s">
        <v>60</v>
      </c>
      <c r="G98" t="s">
        <v>244</v>
      </c>
      <c r="H98">
        <v>74000</v>
      </c>
      <c r="I98">
        <v>85421.04</v>
      </c>
      <c r="J98" t="s">
        <v>18</v>
      </c>
      <c r="K98" t="s">
        <v>27</v>
      </c>
    </row>
    <row r="99" spans="1:11" x14ac:dyDescent="0.25">
      <c r="A99" t="s">
        <v>245</v>
      </c>
      <c r="B99" t="s">
        <v>21</v>
      </c>
      <c r="C99" t="s">
        <v>13</v>
      </c>
      <c r="D99" t="s">
        <v>242</v>
      </c>
      <c r="E99" t="s">
        <v>243</v>
      </c>
      <c r="F99" t="s">
        <v>60</v>
      </c>
      <c r="G99" t="s">
        <v>246</v>
      </c>
      <c r="H99">
        <v>92500</v>
      </c>
      <c r="I99">
        <v>98650.82</v>
      </c>
      <c r="J99" t="s">
        <v>18</v>
      </c>
      <c r="K99" t="s">
        <v>27</v>
      </c>
    </row>
    <row r="100" spans="1:11" x14ac:dyDescent="0.25">
      <c r="A100" t="s">
        <v>247</v>
      </c>
      <c r="B100" t="s">
        <v>25</v>
      </c>
      <c r="C100" t="s">
        <v>13</v>
      </c>
      <c r="D100" t="s">
        <v>242</v>
      </c>
      <c r="E100" t="s">
        <v>243</v>
      </c>
      <c r="F100" t="s">
        <v>60</v>
      </c>
      <c r="G100" t="s">
        <v>248</v>
      </c>
      <c r="H100">
        <v>111000</v>
      </c>
      <c r="I100">
        <v>121608.25</v>
      </c>
      <c r="J100" t="s">
        <v>18</v>
      </c>
      <c r="K100" t="s">
        <v>23</v>
      </c>
    </row>
    <row r="101" spans="1:11" x14ac:dyDescent="0.25">
      <c r="A101" t="s">
        <v>249</v>
      </c>
      <c r="B101" t="s">
        <v>29</v>
      </c>
      <c r="C101" t="s">
        <v>13</v>
      </c>
      <c r="D101" t="s">
        <v>242</v>
      </c>
      <c r="E101" t="s">
        <v>243</v>
      </c>
      <c r="F101" t="s">
        <v>60</v>
      </c>
      <c r="G101" t="s">
        <v>212</v>
      </c>
      <c r="H101">
        <v>148000</v>
      </c>
      <c r="I101">
        <v>164547.84</v>
      </c>
      <c r="J101" t="s">
        <v>18</v>
      </c>
      <c r="K101" t="s">
        <v>23</v>
      </c>
    </row>
    <row r="102" spans="1:11" x14ac:dyDescent="0.25">
      <c r="A102" t="s">
        <v>250</v>
      </c>
      <c r="B102" t="s">
        <v>32</v>
      </c>
      <c r="C102" t="s">
        <v>13</v>
      </c>
      <c r="D102" t="s">
        <v>242</v>
      </c>
      <c r="E102" t="s">
        <v>243</v>
      </c>
      <c r="F102" t="s">
        <v>60</v>
      </c>
      <c r="G102" t="s">
        <v>251</v>
      </c>
      <c r="H102">
        <v>203500</v>
      </c>
      <c r="I102">
        <v>224358.87</v>
      </c>
      <c r="J102" t="s">
        <v>18</v>
      </c>
      <c r="K102" t="s">
        <v>23</v>
      </c>
    </row>
    <row r="103" spans="1:11" x14ac:dyDescent="0.25">
      <c r="A103" t="s">
        <v>252</v>
      </c>
      <c r="B103" t="s">
        <v>35</v>
      </c>
      <c r="C103" t="s">
        <v>13</v>
      </c>
      <c r="D103" t="s">
        <v>242</v>
      </c>
      <c r="E103" t="s">
        <v>243</v>
      </c>
      <c r="F103" t="s">
        <v>60</v>
      </c>
      <c r="G103" t="s">
        <v>253</v>
      </c>
      <c r="H103">
        <v>240500</v>
      </c>
      <c r="I103">
        <v>258959.91</v>
      </c>
      <c r="J103" t="s">
        <v>18</v>
      </c>
      <c r="K103" t="s">
        <v>23</v>
      </c>
    </row>
    <row r="104" spans="1:11" x14ac:dyDescent="0.25">
      <c r="A104" t="s">
        <v>254</v>
      </c>
      <c r="B104" t="s">
        <v>38</v>
      </c>
      <c r="C104" t="s">
        <v>13</v>
      </c>
      <c r="D104" t="s">
        <v>242</v>
      </c>
      <c r="E104" t="s">
        <v>243</v>
      </c>
      <c r="F104" t="s">
        <v>60</v>
      </c>
      <c r="G104" t="s">
        <v>255</v>
      </c>
      <c r="H104">
        <v>240500</v>
      </c>
      <c r="I104">
        <v>225561.92</v>
      </c>
      <c r="J104" t="s">
        <v>18</v>
      </c>
      <c r="K104" t="s">
        <v>19</v>
      </c>
    </row>
    <row r="105" spans="1:11" x14ac:dyDescent="0.25">
      <c r="A105" t="s">
        <v>256</v>
      </c>
      <c r="B105" t="s">
        <v>42</v>
      </c>
      <c r="C105" t="s">
        <v>13</v>
      </c>
      <c r="D105" t="s">
        <v>242</v>
      </c>
      <c r="E105" t="s">
        <v>243</v>
      </c>
      <c r="F105" t="s">
        <v>60</v>
      </c>
      <c r="G105" t="s">
        <v>257</v>
      </c>
      <c r="H105">
        <v>222000</v>
      </c>
      <c r="I105">
        <v>211517.73</v>
      </c>
      <c r="J105" t="s">
        <v>18</v>
      </c>
      <c r="K105" t="s">
        <v>19</v>
      </c>
    </row>
    <row r="106" spans="1:11" x14ac:dyDescent="0.25">
      <c r="A106" t="s">
        <v>258</v>
      </c>
      <c r="B106" t="s">
        <v>45</v>
      </c>
      <c r="C106" t="s">
        <v>13</v>
      </c>
      <c r="D106" t="s">
        <v>242</v>
      </c>
      <c r="E106" t="s">
        <v>243</v>
      </c>
      <c r="F106" t="s">
        <v>60</v>
      </c>
      <c r="G106" t="s">
        <v>259</v>
      </c>
      <c r="H106">
        <v>185000</v>
      </c>
      <c r="I106">
        <v>174568.13</v>
      </c>
      <c r="J106" t="s">
        <v>18</v>
      </c>
      <c r="K106" t="s">
        <v>19</v>
      </c>
    </row>
    <row r="107" spans="1:11" x14ac:dyDescent="0.25">
      <c r="A107" t="s">
        <v>260</v>
      </c>
      <c r="B107" t="s">
        <v>48</v>
      </c>
      <c r="C107" t="s">
        <v>13</v>
      </c>
      <c r="D107" t="s">
        <v>242</v>
      </c>
      <c r="E107" t="s">
        <v>243</v>
      </c>
      <c r="F107" t="s">
        <v>60</v>
      </c>
      <c r="G107" t="s">
        <v>261</v>
      </c>
      <c r="H107">
        <v>148000</v>
      </c>
      <c r="I107">
        <v>0</v>
      </c>
      <c r="J107" t="s">
        <v>50</v>
      </c>
      <c r="K107" t="s">
        <v>23</v>
      </c>
    </row>
    <row r="108" spans="1:11" x14ac:dyDescent="0.25">
      <c r="A108" t="s">
        <v>262</v>
      </c>
      <c r="B108" t="s">
        <v>52</v>
      </c>
      <c r="C108" t="s">
        <v>13</v>
      </c>
      <c r="D108" t="s">
        <v>242</v>
      </c>
      <c r="E108" t="s">
        <v>243</v>
      </c>
      <c r="F108" t="s">
        <v>60</v>
      </c>
      <c r="G108" t="s">
        <v>263</v>
      </c>
      <c r="H108">
        <v>111000</v>
      </c>
      <c r="I108">
        <v>0</v>
      </c>
      <c r="J108" t="s">
        <v>50</v>
      </c>
      <c r="K108" t="s">
        <v>23</v>
      </c>
    </row>
    <row r="109" spans="1:11" x14ac:dyDescent="0.25">
      <c r="A109" t="s">
        <v>264</v>
      </c>
      <c r="B109" t="s">
        <v>55</v>
      </c>
      <c r="C109" t="s">
        <v>13</v>
      </c>
      <c r="D109" t="s">
        <v>242</v>
      </c>
      <c r="E109" t="s">
        <v>243</v>
      </c>
      <c r="F109" t="s">
        <v>60</v>
      </c>
      <c r="G109" t="s">
        <v>265</v>
      </c>
      <c r="H109">
        <v>74000</v>
      </c>
      <c r="I109">
        <v>0</v>
      </c>
      <c r="J109" t="s">
        <v>50</v>
      </c>
      <c r="K109" t="s">
        <v>19</v>
      </c>
    </row>
    <row r="110" spans="1:11" x14ac:dyDescent="0.25">
      <c r="A110" t="s">
        <v>266</v>
      </c>
      <c r="B110" t="s">
        <v>12</v>
      </c>
      <c r="C110" t="s">
        <v>13</v>
      </c>
      <c r="D110" t="s">
        <v>267</v>
      </c>
      <c r="E110" t="s">
        <v>268</v>
      </c>
      <c r="F110" t="s">
        <v>16</v>
      </c>
      <c r="G110" t="s">
        <v>269</v>
      </c>
      <c r="H110">
        <v>8000</v>
      </c>
      <c r="I110">
        <v>9122.77</v>
      </c>
      <c r="J110" t="s">
        <v>18</v>
      </c>
      <c r="K110" t="s">
        <v>27</v>
      </c>
    </row>
    <row r="111" spans="1:11" x14ac:dyDescent="0.25">
      <c r="A111" t="s">
        <v>270</v>
      </c>
      <c r="B111" t="s">
        <v>21</v>
      </c>
      <c r="C111" t="s">
        <v>13</v>
      </c>
      <c r="D111" t="s">
        <v>267</v>
      </c>
      <c r="E111" t="s">
        <v>268</v>
      </c>
      <c r="F111" t="s">
        <v>16</v>
      </c>
      <c r="G111" t="s">
        <v>271</v>
      </c>
      <c r="H111">
        <v>10000</v>
      </c>
      <c r="I111">
        <v>10403.219999999999</v>
      </c>
      <c r="J111" t="s">
        <v>18</v>
      </c>
      <c r="K111" t="s">
        <v>40</v>
      </c>
    </row>
    <row r="112" spans="1:11" x14ac:dyDescent="0.25">
      <c r="A112" t="s">
        <v>272</v>
      </c>
      <c r="B112" t="s">
        <v>25</v>
      </c>
      <c r="C112" t="s">
        <v>13</v>
      </c>
      <c r="D112" t="s">
        <v>267</v>
      </c>
      <c r="E112" t="s">
        <v>268</v>
      </c>
      <c r="F112" t="s">
        <v>16</v>
      </c>
      <c r="G112" t="s">
        <v>273</v>
      </c>
      <c r="H112">
        <v>12000</v>
      </c>
      <c r="I112">
        <v>12810.97</v>
      </c>
      <c r="J112" t="s">
        <v>18</v>
      </c>
      <c r="K112" t="s">
        <v>27</v>
      </c>
    </row>
    <row r="113" spans="1:11" x14ac:dyDescent="0.25">
      <c r="A113" t="s">
        <v>274</v>
      </c>
      <c r="B113" t="s">
        <v>29</v>
      </c>
      <c r="C113" t="s">
        <v>13</v>
      </c>
      <c r="D113" t="s">
        <v>267</v>
      </c>
      <c r="E113" t="s">
        <v>268</v>
      </c>
      <c r="F113" t="s">
        <v>16</v>
      </c>
      <c r="G113" t="s">
        <v>275</v>
      </c>
      <c r="H113">
        <v>16000</v>
      </c>
      <c r="I113">
        <v>18525.47</v>
      </c>
      <c r="J113" t="s">
        <v>18</v>
      </c>
      <c r="K113" t="s">
        <v>19</v>
      </c>
    </row>
    <row r="114" spans="1:11" x14ac:dyDescent="0.25">
      <c r="A114" t="s">
        <v>276</v>
      </c>
      <c r="B114" t="s">
        <v>32</v>
      </c>
      <c r="C114" t="s">
        <v>13</v>
      </c>
      <c r="D114" t="s">
        <v>267</v>
      </c>
      <c r="E114" t="s">
        <v>268</v>
      </c>
      <c r="F114" t="s">
        <v>16</v>
      </c>
      <c r="G114" t="s">
        <v>277</v>
      </c>
      <c r="H114">
        <v>22000</v>
      </c>
      <c r="I114">
        <v>23593.29</v>
      </c>
      <c r="J114" t="s">
        <v>18</v>
      </c>
      <c r="K114" t="s">
        <v>40</v>
      </c>
    </row>
    <row r="115" spans="1:11" x14ac:dyDescent="0.25">
      <c r="A115" t="s">
        <v>278</v>
      </c>
      <c r="B115" t="s">
        <v>35</v>
      </c>
      <c r="C115" t="s">
        <v>13</v>
      </c>
      <c r="D115" t="s">
        <v>267</v>
      </c>
      <c r="E115" t="s">
        <v>268</v>
      </c>
      <c r="F115" t="s">
        <v>16</v>
      </c>
      <c r="G115" t="s">
        <v>279</v>
      </c>
      <c r="H115">
        <v>26000</v>
      </c>
      <c r="I115">
        <v>27947.279999999999</v>
      </c>
      <c r="J115" t="s">
        <v>18</v>
      </c>
      <c r="K115" t="s">
        <v>27</v>
      </c>
    </row>
    <row r="116" spans="1:11" x14ac:dyDescent="0.25">
      <c r="A116" t="s">
        <v>280</v>
      </c>
      <c r="B116" t="s">
        <v>38</v>
      </c>
      <c r="C116" t="s">
        <v>13</v>
      </c>
      <c r="D116" t="s">
        <v>267</v>
      </c>
      <c r="E116" t="s">
        <v>268</v>
      </c>
      <c r="F116" t="s">
        <v>16</v>
      </c>
      <c r="G116" t="s">
        <v>281</v>
      </c>
      <c r="H116">
        <v>26000</v>
      </c>
      <c r="I116">
        <v>26254.21</v>
      </c>
      <c r="J116" t="s">
        <v>18</v>
      </c>
      <c r="K116" t="s">
        <v>27</v>
      </c>
    </row>
    <row r="117" spans="1:11" x14ac:dyDescent="0.25">
      <c r="A117" t="s">
        <v>282</v>
      </c>
      <c r="B117" t="s">
        <v>42</v>
      </c>
      <c r="C117" t="s">
        <v>13</v>
      </c>
      <c r="D117" t="s">
        <v>267</v>
      </c>
      <c r="E117" t="s">
        <v>268</v>
      </c>
      <c r="F117" t="s">
        <v>16</v>
      </c>
      <c r="G117" t="s">
        <v>283</v>
      </c>
      <c r="H117">
        <v>24000</v>
      </c>
      <c r="I117">
        <v>23154.54</v>
      </c>
      <c r="J117" t="s">
        <v>18</v>
      </c>
      <c r="K117" t="s">
        <v>23</v>
      </c>
    </row>
    <row r="118" spans="1:11" x14ac:dyDescent="0.25">
      <c r="A118" t="s">
        <v>284</v>
      </c>
      <c r="B118" t="s">
        <v>45</v>
      </c>
      <c r="C118" t="s">
        <v>13</v>
      </c>
      <c r="D118" t="s">
        <v>267</v>
      </c>
      <c r="E118" t="s">
        <v>268</v>
      </c>
      <c r="F118" t="s">
        <v>16</v>
      </c>
      <c r="G118" t="s">
        <v>285</v>
      </c>
      <c r="H118">
        <v>20000</v>
      </c>
      <c r="I118">
        <v>18962.419999999998</v>
      </c>
      <c r="J118" t="s">
        <v>18</v>
      </c>
      <c r="K118" t="s">
        <v>27</v>
      </c>
    </row>
    <row r="119" spans="1:11" x14ac:dyDescent="0.25">
      <c r="A119" t="s">
        <v>286</v>
      </c>
      <c r="B119" t="s">
        <v>48</v>
      </c>
      <c r="C119" t="s">
        <v>13</v>
      </c>
      <c r="D119" t="s">
        <v>267</v>
      </c>
      <c r="E119" t="s">
        <v>268</v>
      </c>
      <c r="F119" t="s">
        <v>16</v>
      </c>
      <c r="G119" t="s">
        <v>287</v>
      </c>
      <c r="H119">
        <v>16000</v>
      </c>
      <c r="I119">
        <v>0</v>
      </c>
      <c r="J119" t="s">
        <v>50</v>
      </c>
      <c r="K119" t="s">
        <v>27</v>
      </c>
    </row>
    <row r="120" spans="1:11" x14ac:dyDescent="0.25">
      <c r="A120" t="s">
        <v>288</v>
      </c>
      <c r="B120" t="s">
        <v>52</v>
      </c>
      <c r="C120" t="s">
        <v>13</v>
      </c>
      <c r="D120" t="s">
        <v>267</v>
      </c>
      <c r="E120" t="s">
        <v>268</v>
      </c>
      <c r="F120" t="s">
        <v>16</v>
      </c>
      <c r="G120" t="s">
        <v>289</v>
      </c>
      <c r="H120">
        <v>12000</v>
      </c>
      <c r="I120">
        <v>0</v>
      </c>
      <c r="J120" t="s">
        <v>50</v>
      </c>
      <c r="K120" t="s">
        <v>23</v>
      </c>
    </row>
    <row r="121" spans="1:11" x14ac:dyDescent="0.25">
      <c r="A121" t="s">
        <v>290</v>
      </c>
      <c r="B121" t="s">
        <v>55</v>
      </c>
      <c r="C121" t="s">
        <v>13</v>
      </c>
      <c r="D121" t="s">
        <v>267</v>
      </c>
      <c r="E121" t="s">
        <v>268</v>
      </c>
      <c r="F121" t="s">
        <v>16</v>
      </c>
      <c r="G121" t="s">
        <v>291</v>
      </c>
      <c r="H121">
        <v>8000</v>
      </c>
      <c r="I121">
        <v>0</v>
      </c>
      <c r="J121" t="s">
        <v>50</v>
      </c>
      <c r="K121" t="s">
        <v>40</v>
      </c>
    </row>
    <row r="122" spans="1:11" x14ac:dyDescent="0.25">
      <c r="A122" t="s">
        <v>292</v>
      </c>
      <c r="B122" t="s">
        <v>12</v>
      </c>
      <c r="C122" t="s">
        <v>293</v>
      </c>
      <c r="D122" t="s">
        <v>294</v>
      </c>
      <c r="E122" t="s">
        <v>295</v>
      </c>
      <c r="F122" t="s">
        <v>296</v>
      </c>
      <c r="G122" t="s">
        <v>297</v>
      </c>
      <c r="H122">
        <v>32180</v>
      </c>
      <c r="I122">
        <v>33825.31</v>
      </c>
      <c r="J122" t="s">
        <v>18</v>
      </c>
      <c r="K122" t="s">
        <v>23</v>
      </c>
    </row>
    <row r="123" spans="1:11" x14ac:dyDescent="0.25">
      <c r="A123" t="s">
        <v>298</v>
      </c>
      <c r="B123" t="s">
        <v>21</v>
      </c>
      <c r="C123" t="s">
        <v>293</v>
      </c>
      <c r="D123" t="s">
        <v>294</v>
      </c>
      <c r="E123" t="s">
        <v>295</v>
      </c>
      <c r="F123" t="s">
        <v>296</v>
      </c>
      <c r="G123" t="s">
        <v>299</v>
      </c>
      <c r="H123">
        <v>48270</v>
      </c>
      <c r="I123">
        <v>52658.48</v>
      </c>
      <c r="J123" t="s">
        <v>18</v>
      </c>
      <c r="K123" t="s">
        <v>27</v>
      </c>
    </row>
    <row r="124" spans="1:11" x14ac:dyDescent="0.25">
      <c r="A124" t="s">
        <v>300</v>
      </c>
      <c r="B124" t="s">
        <v>25</v>
      </c>
      <c r="C124" t="s">
        <v>293</v>
      </c>
      <c r="D124" t="s">
        <v>294</v>
      </c>
      <c r="E124" t="s">
        <v>295</v>
      </c>
      <c r="F124" t="s">
        <v>296</v>
      </c>
      <c r="G124" t="s">
        <v>301</v>
      </c>
      <c r="H124">
        <v>80450</v>
      </c>
      <c r="I124">
        <v>87600.08</v>
      </c>
      <c r="J124" t="s">
        <v>18</v>
      </c>
      <c r="K124" t="s">
        <v>40</v>
      </c>
    </row>
    <row r="125" spans="1:11" x14ac:dyDescent="0.25">
      <c r="A125" t="s">
        <v>302</v>
      </c>
      <c r="B125" t="s">
        <v>29</v>
      </c>
      <c r="C125" t="s">
        <v>293</v>
      </c>
      <c r="D125" t="s">
        <v>294</v>
      </c>
      <c r="E125" t="s">
        <v>295</v>
      </c>
      <c r="F125" t="s">
        <v>296</v>
      </c>
      <c r="G125" t="s">
        <v>303</v>
      </c>
      <c r="H125">
        <v>128720</v>
      </c>
      <c r="I125">
        <v>136209.60000000001</v>
      </c>
      <c r="J125" t="s">
        <v>18</v>
      </c>
      <c r="K125" t="s">
        <v>23</v>
      </c>
    </row>
    <row r="126" spans="1:11" x14ac:dyDescent="0.25">
      <c r="A126" t="s">
        <v>304</v>
      </c>
      <c r="B126" t="s">
        <v>32</v>
      </c>
      <c r="C126" t="s">
        <v>293</v>
      </c>
      <c r="D126" t="s">
        <v>294</v>
      </c>
      <c r="E126" t="s">
        <v>295</v>
      </c>
      <c r="F126" t="s">
        <v>296</v>
      </c>
      <c r="G126" t="s">
        <v>305</v>
      </c>
      <c r="H126">
        <v>176990</v>
      </c>
      <c r="I126">
        <v>194693.29</v>
      </c>
      <c r="J126" t="s">
        <v>18</v>
      </c>
      <c r="K126" t="s">
        <v>27</v>
      </c>
    </row>
    <row r="127" spans="1:11" x14ac:dyDescent="0.25">
      <c r="A127" t="s">
        <v>306</v>
      </c>
      <c r="B127" t="s">
        <v>35</v>
      </c>
      <c r="C127" t="s">
        <v>293</v>
      </c>
      <c r="D127" t="s">
        <v>294</v>
      </c>
      <c r="E127" t="s">
        <v>295</v>
      </c>
      <c r="F127" t="s">
        <v>296</v>
      </c>
      <c r="G127" t="s">
        <v>307</v>
      </c>
      <c r="H127">
        <v>225260</v>
      </c>
      <c r="I127">
        <v>253719.89</v>
      </c>
      <c r="J127" t="s">
        <v>18</v>
      </c>
      <c r="K127" t="s">
        <v>23</v>
      </c>
    </row>
    <row r="128" spans="1:11" x14ac:dyDescent="0.25">
      <c r="A128" t="s">
        <v>308</v>
      </c>
      <c r="B128" t="s">
        <v>38</v>
      </c>
      <c r="C128" t="s">
        <v>293</v>
      </c>
      <c r="D128" t="s">
        <v>294</v>
      </c>
      <c r="E128" t="s">
        <v>295</v>
      </c>
      <c r="F128" t="s">
        <v>296</v>
      </c>
      <c r="G128" t="s">
        <v>309</v>
      </c>
      <c r="H128">
        <v>241350</v>
      </c>
      <c r="I128">
        <v>257630.2</v>
      </c>
      <c r="J128" t="s">
        <v>18</v>
      </c>
      <c r="K128" t="s">
        <v>19</v>
      </c>
    </row>
    <row r="129" spans="1:11" x14ac:dyDescent="0.25">
      <c r="A129" t="s">
        <v>310</v>
      </c>
      <c r="B129" t="s">
        <v>42</v>
      </c>
      <c r="C129" t="s">
        <v>293</v>
      </c>
      <c r="D129" t="s">
        <v>294</v>
      </c>
      <c r="E129" t="s">
        <v>295</v>
      </c>
      <c r="F129" t="s">
        <v>296</v>
      </c>
      <c r="G129" t="s">
        <v>311</v>
      </c>
      <c r="H129">
        <v>193080</v>
      </c>
      <c r="I129">
        <v>224071.25</v>
      </c>
      <c r="J129" t="s">
        <v>18</v>
      </c>
      <c r="K129" t="s">
        <v>27</v>
      </c>
    </row>
    <row r="130" spans="1:11" x14ac:dyDescent="0.25">
      <c r="A130" t="s">
        <v>312</v>
      </c>
      <c r="B130" t="s">
        <v>45</v>
      </c>
      <c r="C130" t="s">
        <v>293</v>
      </c>
      <c r="D130" t="s">
        <v>294</v>
      </c>
      <c r="E130" t="s">
        <v>295</v>
      </c>
      <c r="F130" t="s">
        <v>296</v>
      </c>
      <c r="G130" t="s">
        <v>313</v>
      </c>
      <c r="H130">
        <v>176990</v>
      </c>
      <c r="I130">
        <v>0</v>
      </c>
      <c r="J130" t="s">
        <v>50</v>
      </c>
      <c r="K130" t="s">
        <v>19</v>
      </c>
    </row>
    <row r="131" spans="1:11" x14ac:dyDescent="0.25">
      <c r="A131" t="s">
        <v>314</v>
      </c>
      <c r="B131" t="s">
        <v>48</v>
      </c>
      <c r="C131" t="s">
        <v>293</v>
      </c>
      <c r="D131" t="s">
        <v>294</v>
      </c>
      <c r="E131" t="s">
        <v>295</v>
      </c>
      <c r="F131" t="s">
        <v>296</v>
      </c>
      <c r="G131" t="s">
        <v>315</v>
      </c>
      <c r="H131">
        <v>128720</v>
      </c>
      <c r="I131">
        <v>0</v>
      </c>
      <c r="J131" t="s">
        <v>50</v>
      </c>
      <c r="K131" t="s">
        <v>19</v>
      </c>
    </row>
    <row r="132" spans="1:11" x14ac:dyDescent="0.25">
      <c r="A132" t="s">
        <v>316</v>
      </c>
      <c r="B132" t="s">
        <v>52</v>
      </c>
      <c r="C132" t="s">
        <v>293</v>
      </c>
      <c r="D132" t="s">
        <v>294</v>
      </c>
      <c r="E132" t="s">
        <v>295</v>
      </c>
      <c r="F132" t="s">
        <v>296</v>
      </c>
      <c r="G132" t="s">
        <v>317</v>
      </c>
      <c r="H132">
        <v>96540</v>
      </c>
      <c r="I132">
        <v>0</v>
      </c>
      <c r="J132" t="s">
        <v>50</v>
      </c>
      <c r="K132" t="s">
        <v>40</v>
      </c>
    </row>
    <row r="133" spans="1:11" x14ac:dyDescent="0.25">
      <c r="A133" t="s">
        <v>318</v>
      </c>
      <c r="B133" t="s">
        <v>55</v>
      </c>
      <c r="C133" t="s">
        <v>293</v>
      </c>
      <c r="D133" t="s">
        <v>294</v>
      </c>
      <c r="E133" t="s">
        <v>295</v>
      </c>
      <c r="F133" t="s">
        <v>296</v>
      </c>
      <c r="G133" t="s">
        <v>319</v>
      </c>
      <c r="H133">
        <v>80450</v>
      </c>
      <c r="I133">
        <v>0</v>
      </c>
      <c r="J133" t="s">
        <v>50</v>
      </c>
      <c r="K133" t="s">
        <v>27</v>
      </c>
    </row>
    <row r="134" spans="1:11" x14ac:dyDescent="0.25">
      <c r="A134" t="s">
        <v>320</v>
      </c>
      <c r="B134" t="s">
        <v>12</v>
      </c>
      <c r="C134" t="s">
        <v>293</v>
      </c>
      <c r="D134" t="s">
        <v>321</v>
      </c>
      <c r="E134" t="s">
        <v>322</v>
      </c>
      <c r="F134" t="s">
        <v>323</v>
      </c>
      <c r="G134" t="s">
        <v>324</v>
      </c>
      <c r="H134">
        <v>42840</v>
      </c>
      <c r="I134">
        <v>45895.22</v>
      </c>
      <c r="J134" t="s">
        <v>18</v>
      </c>
      <c r="K134" t="s">
        <v>19</v>
      </c>
    </row>
    <row r="135" spans="1:11" x14ac:dyDescent="0.25">
      <c r="A135" t="s">
        <v>325</v>
      </c>
      <c r="B135" t="s">
        <v>21</v>
      </c>
      <c r="C135" t="s">
        <v>293</v>
      </c>
      <c r="D135" t="s">
        <v>321</v>
      </c>
      <c r="E135" t="s">
        <v>322</v>
      </c>
      <c r="F135" t="s">
        <v>323</v>
      </c>
      <c r="G135" t="s">
        <v>326</v>
      </c>
      <c r="H135">
        <v>64260</v>
      </c>
      <c r="I135">
        <v>69722.05</v>
      </c>
      <c r="J135" t="s">
        <v>18</v>
      </c>
      <c r="K135" t="s">
        <v>40</v>
      </c>
    </row>
    <row r="136" spans="1:11" x14ac:dyDescent="0.25">
      <c r="A136" t="s">
        <v>327</v>
      </c>
      <c r="B136" t="s">
        <v>25</v>
      </c>
      <c r="C136" t="s">
        <v>293</v>
      </c>
      <c r="D136" t="s">
        <v>321</v>
      </c>
      <c r="E136" t="s">
        <v>322</v>
      </c>
      <c r="F136" t="s">
        <v>323</v>
      </c>
      <c r="G136" t="s">
        <v>328</v>
      </c>
      <c r="H136">
        <v>107100</v>
      </c>
      <c r="I136">
        <v>125611.12</v>
      </c>
      <c r="J136" t="s">
        <v>18</v>
      </c>
      <c r="K136" t="s">
        <v>40</v>
      </c>
    </row>
    <row r="137" spans="1:11" x14ac:dyDescent="0.25">
      <c r="A137" t="s">
        <v>329</v>
      </c>
      <c r="B137" t="s">
        <v>29</v>
      </c>
      <c r="C137" t="s">
        <v>293</v>
      </c>
      <c r="D137" t="s">
        <v>321</v>
      </c>
      <c r="E137" t="s">
        <v>322</v>
      </c>
      <c r="F137" t="s">
        <v>323</v>
      </c>
      <c r="G137" t="s">
        <v>330</v>
      </c>
      <c r="H137">
        <v>171360</v>
      </c>
      <c r="I137">
        <v>197212.95</v>
      </c>
      <c r="J137" t="s">
        <v>18</v>
      </c>
      <c r="K137" t="s">
        <v>40</v>
      </c>
    </row>
    <row r="138" spans="1:11" x14ac:dyDescent="0.25">
      <c r="A138" t="s">
        <v>331</v>
      </c>
      <c r="B138" t="s">
        <v>32</v>
      </c>
      <c r="C138" t="s">
        <v>293</v>
      </c>
      <c r="D138" t="s">
        <v>321</v>
      </c>
      <c r="E138" t="s">
        <v>322</v>
      </c>
      <c r="F138" t="s">
        <v>323</v>
      </c>
      <c r="G138" t="s">
        <v>332</v>
      </c>
      <c r="H138">
        <v>235620</v>
      </c>
      <c r="I138">
        <v>256926.31</v>
      </c>
      <c r="J138" t="s">
        <v>18</v>
      </c>
      <c r="K138" t="s">
        <v>27</v>
      </c>
    </row>
    <row r="139" spans="1:11" x14ac:dyDescent="0.25">
      <c r="A139" t="s">
        <v>333</v>
      </c>
      <c r="B139" t="s">
        <v>35</v>
      </c>
      <c r="C139" t="s">
        <v>293</v>
      </c>
      <c r="D139" t="s">
        <v>321</v>
      </c>
      <c r="E139" t="s">
        <v>322</v>
      </c>
      <c r="F139" t="s">
        <v>323</v>
      </c>
      <c r="G139" t="s">
        <v>334</v>
      </c>
      <c r="H139">
        <v>299880</v>
      </c>
      <c r="I139">
        <v>323353.01</v>
      </c>
      <c r="J139" t="s">
        <v>18</v>
      </c>
      <c r="K139" t="s">
        <v>23</v>
      </c>
    </row>
    <row r="140" spans="1:11" x14ac:dyDescent="0.25">
      <c r="A140" t="s">
        <v>335</v>
      </c>
      <c r="B140" t="s">
        <v>38</v>
      </c>
      <c r="C140" t="s">
        <v>293</v>
      </c>
      <c r="D140" t="s">
        <v>321</v>
      </c>
      <c r="E140" t="s">
        <v>322</v>
      </c>
      <c r="F140" t="s">
        <v>323</v>
      </c>
      <c r="G140" t="s">
        <v>336</v>
      </c>
      <c r="H140">
        <v>321300</v>
      </c>
      <c r="I140">
        <v>342193.75</v>
      </c>
      <c r="J140" t="s">
        <v>18</v>
      </c>
      <c r="K140" t="s">
        <v>27</v>
      </c>
    </row>
    <row r="141" spans="1:11" x14ac:dyDescent="0.25">
      <c r="A141" t="s">
        <v>337</v>
      </c>
      <c r="B141" t="s">
        <v>42</v>
      </c>
      <c r="C141" t="s">
        <v>293</v>
      </c>
      <c r="D141" t="s">
        <v>321</v>
      </c>
      <c r="E141" t="s">
        <v>322</v>
      </c>
      <c r="F141" t="s">
        <v>323</v>
      </c>
      <c r="G141" t="s">
        <v>338</v>
      </c>
      <c r="H141">
        <v>257040</v>
      </c>
      <c r="I141">
        <v>291331.88</v>
      </c>
      <c r="J141" t="s">
        <v>18</v>
      </c>
      <c r="K141" t="s">
        <v>19</v>
      </c>
    </row>
    <row r="142" spans="1:11" x14ac:dyDescent="0.25">
      <c r="A142" t="s">
        <v>339</v>
      </c>
      <c r="B142" t="s">
        <v>45</v>
      </c>
      <c r="C142" t="s">
        <v>293</v>
      </c>
      <c r="D142" t="s">
        <v>321</v>
      </c>
      <c r="E142" t="s">
        <v>322</v>
      </c>
      <c r="F142" t="s">
        <v>323</v>
      </c>
      <c r="G142" t="s">
        <v>340</v>
      </c>
      <c r="H142">
        <v>235620</v>
      </c>
      <c r="I142">
        <v>0</v>
      </c>
      <c r="J142" t="s">
        <v>50</v>
      </c>
      <c r="K142" t="s">
        <v>19</v>
      </c>
    </row>
    <row r="143" spans="1:11" x14ac:dyDescent="0.25">
      <c r="A143" t="s">
        <v>341</v>
      </c>
      <c r="B143" t="s">
        <v>48</v>
      </c>
      <c r="C143" t="s">
        <v>293</v>
      </c>
      <c r="D143" t="s">
        <v>321</v>
      </c>
      <c r="E143" t="s">
        <v>322</v>
      </c>
      <c r="F143" t="s">
        <v>323</v>
      </c>
      <c r="G143" t="s">
        <v>342</v>
      </c>
      <c r="H143">
        <v>171360</v>
      </c>
      <c r="I143">
        <v>0</v>
      </c>
      <c r="J143" t="s">
        <v>50</v>
      </c>
      <c r="K143" t="s">
        <v>40</v>
      </c>
    </row>
    <row r="144" spans="1:11" x14ac:dyDescent="0.25">
      <c r="A144" t="s">
        <v>343</v>
      </c>
      <c r="B144" t="s">
        <v>52</v>
      </c>
      <c r="C144" t="s">
        <v>293</v>
      </c>
      <c r="D144" t="s">
        <v>321</v>
      </c>
      <c r="E144" t="s">
        <v>322</v>
      </c>
      <c r="F144" t="s">
        <v>323</v>
      </c>
      <c r="G144" t="s">
        <v>344</v>
      </c>
      <c r="H144">
        <v>128520</v>
      </c>
      <c r="I144">
        <v>0</v>
      </c>
      <c r="J144" t="s">
        <v>50</v>
      </c>
      <c r="K144" t="s">
        <v>23</v>
      </c>
    </row>
    <row r="145" spans="1:11" x14ac:dyDescent="0.25">
      <c r="A145" t="s">
        <v>345</v>
      </c>
      <c r="B145" t="s">
        <v>55</v>
      </c>
      <c r="C145" t="s">
        <v>293</v>
      </c>
      <c r="D145" t="s">
        <v>321</v>
      </c>
      <c r="E145" t="s">
        <v>322</v>
      </c>
      <c r="F145" t="s">
        <v>323</v>
      </c>
      <c r="G145" t="s">
        <v>346</v>
      </c>
      <c r="H145">
        <v>107100</v>
      </c>
      <c r="I145">
        <v>0</v>
      </c>
      <c r="J145" t="s">
        <v>50</v>
      </c>
      <c r="K145" t="s">
        <v>40</v>
      </c>
    </row>
    <row r="146" spans="1:11" x14ac:dyDescent="0.25">
      <c r="A146" t="s">
        <v>347</v>
      </c>
      <c r="B146" t="s">
        <v>12</v>
      </c>
      <c r="C146" t="s">
        <v>293</v>
      </c>
      <c r="D146" t="s">
        <v>348</v>
      </c>
      <c r="E146" t="s">
        <v>349</v>
      </c>
      <c r="F146" t="s">
        <v>296</v>
      </c>
      <c r="G146" t="s">
        <v>350</v>
      </c>
      <c r="H146">
        <v>122740</v>
      </c>
      <c r="I146">
        <v>122908.54</v>
      </c>
      <c r="J146" t="s">
        <v>18</v>
      </c>
      <c r="K146" t="s">
        <v>19</v>
      </c>
    </row>
    <row r="147" spans="1:11" x14ac:dyDescent="0.25">
      <c r="A147" t="s">
        <v>351</v>
      </c>
      <c r="B147" t="s">
        <v>21</v>
      </c>
      <c r="C147" t="s">
        <v>293</v>
      </c>
      <c r="D147" t="s">
        <v>348</v>
      </c>
      <c r="E147" t="s">
        <v>349</v>
      </c>
      <c r="F147" t="s">
        <v>296</v>
      </c>
      <c r="G147" t="s">
        <v>352</v>
      </c>
      <c r="H147">
        <v>184110</v>
      </c>
      <c r="I147">
        <v>204739.91</v>
      </c>
      <c r="J147" t="s">
        <v>18</v>
      </c>
      <c r="K147" t="s">
        <v>27</v>
      </c>
    </row>
    <row r="148" spans="1:11" x14ac:dyDescent="0.25">
      <c r="A148" t="s">
        <v>353</v>
      </c>
      <c r="B148" t="s">
        <v>25</v>
      </c>
      <c r="C148" t="s">
        <v>293</v>
      </c>
      <c r="D148" t="s">
        <v>348</v>
      </c>
      <c r="E148" t="s">
        <v>349</v>
      </c>
      <c r="F148" t="s">
        <v>296</v>
      </c>
      <c r="G148" t="s">
        <v>354</v>
      </c>
      <c r="H148">
        <v>306850</v>
      </c>
      <c r="I148">
        <v>343764.07</v>
      </c>
      <c r="J148" t="s">
        <v>18</v>
      </c>
      <c r="K148" t="s">
        <v>23</v>
      </c>
    </row>
    <row r="149" spans="1:11" x14ac:dyDescent="0.25">
      <c r="A149" t="s">
        <v>355</v>
      </c>
      <c r="B149" t="s">
        <v>29</v>
      </c>
      <c r="C149" t="s">
        <v>293</v>
      </c>
      <c r="D149" t="s">
        <v>348</v>
      </c>
      <c r="E149" t="s">
        <v>349</v>
      </c>
      <c r="F149" t="s">
        <v>296</v>
      </c>
      <c r="G149" t="s">
        <v>356</v>
      </c>
      <c r="H149">
        <v>490960</v>
      </c>
      <c r="I149">
        <v>515833.34</v>
      </c>
      <c r="J149" t="s">
        <v>18</v>
      </c>
      <c r="K149" t="s">
        <v>19</v>
      </c>
    </row>
    <row r="150" spans="1:11" x14ac:dyDescent="0.25">
      <c r="A150" t="s">
        <v>357</v>
      </c>
      <c r="B150" t="s">
        <v>32</v>
      </c>
      <c r="C150" t="s">
        <v>293</v>
      </c>
      <c r="D150" t="s">
        <v>348</v>
      </c>
      <c r="E150" t="s">
        <v>349</v>
      </c>
      <c r="F150" t="s">
        <v>296</v>
      </c>
      <c r="G150" t="s">
        <v>358</v>
      </c>
      <c r="H150">
        <v>675070</v>
      </c>
      <c r="I150">
        <v>738142.11</v>
      </c>
      <c r="J150" t="s">
        <v>18</v>
      </c>
      <c r="K150" t="s">
        <v>40</v>
      </c>
    </row>
    <row r="151" spans="1:11" x14ac:dyDescent="0.25">
      <c r="A151" t="s">
        <v>359</v>
      </c>
      <c r="B151" t="s">
        <v>35</v>
      </c>
      <c r="C151" t="s">
        <v>293</v>
      </c>
      <c r="D151" t="s">
        <v>348</v>
      </c>
      <c r="E151" t="s">
        <v>349</v>
      </c>
      <c r="F151" t="s">
        <v>296</v>
      </c>
      <c r="G151" t="s">
        <v>360</v>
      </c>
      <c r="H151">
        <v>859180</v>
      </c>
      <c r="I151">
        <v>964520.47</v>
      </c>
      <c r="J151" t="s">
        <v>18</v>
      </c>
      <c r="K151" t="s">
        <v>40</v>
      </c>
    </row>
    <row r="152" spans="1:11" x14ac:dyDescent="0.25">
      <c r="A152" t="s">
        <v>361</v>
      </c>
      <c r="B152" t="s">
        <v>38</v>
      </c>
      <c r="C152" t="s">
        <v>293</v>
      </c>
      <c r="D152" t="s">
        <v>348</v>
      </c>
      <c r="E152" t="s">
        <v>349</v>
      </c>
      <c r="F152" t="s">
        <v>296</v>
      </c>
      <c r="G152" t="s">
        <v>362</v>
      </c>
      <c r="H152">
        <v>920550</v>
      </c>
      <c r="I152">
        <v>974278.57</v>
      </c>
      <c r="J152" t="s">
        <v>18</v>
      </c>
      <c r="K152" t="s">
        <v>27</v>
      </c>
    </row>
    <row r="153" spans="1:11" x14ac:dyDescent="0.25">
      <c r="A153" t="s">
        <v>363</v>
      </c>
      <c r="B153" t="s">
        <v>42</v>
      </c>
      <c r="C153" t="s">
        <v>293</v>
      </c>
      <c r="D153" t="s">
        <v>348</v>
      </c>
      <c r="E153" t="s">
        <v>349</v>
      </c>
      <c r="F153" t="s">
        <v>296</v>
      </c>
      <c r="G153" t="s">
        <v>364</v>
      </c>
      <c r="H153">
        <v>736440</v>
      </c>
      <c r="I153">
        <v>822751.01</v>
      </c>
      <c r="J153" t="s">
        <v>18</v>
      </c>
      <c r="K153" t="s">
        <v>19</v>
      </c>
    </row>
    <row r="154" spans="1:11" x14ac:dyDescent="0.25">
      <c r="A154" t="s">
        <v>365</v>
      </c>
      <c r="B154" t="s">
        <v>45</v>
      </c>
      <c r="C154" t="s">
        <v>293</v>
      </c>
      <c r="D154" t="s">
        <v>348</v>
      </c>
      <c r="E154" t="s">
        <v>349</v>
      </c>
      <c r="F154" t="s">
        <v>296</v>
      </c>
      <c r="G154" t="s">
        <v>366</v>
      </c>
      <c r="H154">
        <v>675070</v>
      </c>
      <c r="I154">
        <v>0</v>
      </c>
      <c r="J154" t="s">
        <v>50</v>
      </c>
      <c r="K154" t="s">
        <v>19</v>
      </c>
    </row>
    <row r="155" spans="1:11" x14ac:dyDescent="0.25">
      <c r="A155" t="s">
        <v>367</v>
      </c>
      <c r="B155" t="s">
        <v>48</v>
      </c>
      <c r="C155" t="s">
        <v>293</v>
      </c>
      <c r="D155" t="s">
        <v>348</v>
      </c>
      <c r="E155" t="s">
        <v>349</v>
      </c>
      <c r="F155" t="s">
        <v>296</v>
      </c>
      <c r="G155" t="s">
        <v>368</v>
      </c>
      <c r="H155">
        <v>490960</v>
      </c>
      <c r="I155">
        <v>0</v>
      </c>
      <c r="J155" t="s">
        <v>50</v>
      </c>
      <c r="K155" t="s">
        <v>23</v>
      </c>
    </row>
    <row r="156" spans="1:11" x14ac:dyDescent="0.25">
      <c r="A156" t="s">
        <v>369</v>
      </c>
      <c r="B156" t="s">
        <v>52</v>
      </c>
      <c r="C156" t="s">
        <v>293</v>
      </c>
      <c r="D156" t="s">
        <v>348</v>
      </c>
      <c r="E156" t="s">
        <v>349</v>
      </c>
      <c r="F156" t="s">
        <v>296</v>
      </c>
      <c r="G156" t="s">
        <v>370</v>
      </c>
      <c r="H156">
        <v>368220</v>
      </c>
      <c r="I156">
        <v>0</v>
      </c>
      <c r="J156" t="s">
        <v>50</v>
      </c>
      <c r="K156" t="s">
        <v>23</v>
      </c>
    </row>
    <row r="157" spans="1:11" x14ac:dyDescent="0.25">
      <c r="A157" t="s">
        <v>371</v>
      </c>
      <c r="B157" t="s">
        <v>55</v>
      </c>
      <c r="C157" t="s">
        <v>293</v>
      </c>
      <c r="D157" t="s">
        <v>348</v>
      </c>
      <c r="E157" t="s">
        <v>349</v>
      </c>
      <c r="F157" t="s">
        <v>296</v>
      </c>
      <c r="G157" t="s">
        <v>372</v>
      </c>
      <c r="H157">
        <v>306850</v>
      </c>
      <c r="I157">
        <v>0</v>
      </c>
      <c r="J157" t="s">
        <v>50</v>
      </c>
      <c r="K157" t="s">
        <v>27</v>
      </c>
    </row>
    <row r="158" spans="1:11" x14ac:dyDescent="0.25">
      <c r="A158" t="s">
        <v>373</v>
      </c>
      <c r="B158" t="s">
        <v>12</v>
      </c>
      <c r="C158" t="s">
        <v>293</v>
      </c>
      <c r="D158" t="s">
        <v>374</v>
      </c>
      <c r="E158" t="s">
        <v>375</v>
      </c>
      <c r="F158" t="s">
        <v>376</v>
      </c>
      <c r="G158" t="s">
        <v>377</v>
      </c>
      <c r="H158">
        <v>82940</v>
      </c>
      <c r="I158">
        <v>86995.15</v>
      </c>
      <c r="J158" t="s">
        <v>18</v>
      </c>
      <c r="K158" t="s">
        <v>23</v>
      </c>
    </row>
    <row r="159" spans="1:11" x14ac:dyDescent="0.25">
      <c r="A159" t="s">
        <v>378</v>
      </c>
      <c r="B159" t="s">
        <v>21</v>
      </c>
      <c r="C159" t="s">
        <v>293</v>
      </c>
      <c r="D159" t="s">
        <v>374</v>
      </c>
      <c r="E159" t="s">
        <v>375</v>
      </c>
      <c r="F159" t="s">
        <v>376</v>
      </c>
      <c r="G159" t="s">
        <v>379</v>
      </c>
      <c r="H159">
        <v>124410</v>
      </c>
      <c r="I159">
        <v>143497.18</v>
      </c>
      <c r="J159" t="s">
        <v>18</v>
      </c>
      <c r="K159" t="s">
        <v>40</v>
      </c>
    </row>
    <row r="160" spans="1:11" x14ac:dyDescent="0.25">
      <c r="A160" t="s">
        <v>380</v>
      </c>
      <c r="B160" t="s">
        <v>25</v>
      </c>
      <c r="C160" t="s">
        <v>293</v>
      </c>
      <c r="D160" t="s">
        <v>374</v>
      </c>
      <c r="E160" t="s">
        <v>375</v>
      </c>
      <c r="F160" t="s">
        <v>376</v>
      </c>
      <c r="G160" t="s">
        <v>381</v>
      </c>
      <c r="H160">
        <v>207350</v>
      </c>
      <c r="I160">
        <v>226241.7</v>
      </c>
      <c r="J160" t="s">
        <v>18</v>
      </c>
      <c r="K160" t="s">
        <v>27</v>
      </c>
    </row>
    <row r="161" spans="1:11" x14ac:dyDescent="0.25">
      <c r="A161" t="s">
        <v>382</v>
      </c>
      <c r="B161" t="s">
        <v>29</v>
      </c>
      <c r="C161" t="s">
        <v>293</v>
      </c>
      <c r="D161" t="s">
        <v>374</v>
      </c>
      <c r="E161" t="s">
        <v>375</v>
      </c>
      <c r="F161" t="s">
        <v>376</v>
      </c>
      <c r="G161" t="s">
        <v>383</v>
      </c>
      <c r="H161">
        <v>331760</v>
      </c>
      <c r="I161">
        <v>371217.85</v>
      </c>
      <c r="J161" t="s">
        <v>18</v>
      </c>
      <c r="K161" t="s">
        <v>23</v>
      </c>
    </row>
    <row r="162" spans="1:11" x14ac:dyDescent="0.25">
      <c r="A162" t="s">
        <v>384</v>
      </c>
      <c r="B162" t="s">
        <v>32</v>
      </c>
      <c r="C162" t="s">
        <v>293</v>
      </c>
      <c r="D162" t="s">
        <v>374</v>
      </c>
      <c r="E162" t="s">
        <v>375</v>
      </c>
      <c r="F162" t="s">
        <v>376</v>
      </c>
      <c r="G162" t="s">
        <v>385</v>
      </c>
      <c r="H162">
        <v>456170</v>
      </c>
      <c r="I162">
        <v>523425.72</v>
      </c>
      <c r="J162" t="s">
        <v>18</v>
      </c>
      <c r="K162" t="s">
        <v>40</v>
      </c>
    </row>
    <row r="163" spans="1:11" x14ac:dyDescent="0.25">
      <c r="A163" t="s">
        <v>386</v>
      </c>
      <c r="B163" t="s">
        <v>35</v>
      </c>
      <c r="C163" t="s">
        <v>293</v>
      </c>
      <c r="D163" t="s">
        <v>374</v>
      </c>
      <c r="E163" t="s">
        <v>375</v>
      </c>
      <c r="F163" t="s">
        <v>376</v>
      </c>
      <c r="G163" t="s">
        <v>387</v>
      </c>
      <c r="H163">
        <v>580580</v>
      </c>
      <c r="I163">
        <v>609767.93999999994</v>
      </c>
      <c r="J163" t="s">
        <v>18</v>
      </c>
      <c r="K163" t="s">
        <v>23</v>
      </c>
    </row>
    <row r="164" spans="1:11" x14ac:dyDescent="0.25">
      <c r="A164" t="s">
        <v>388</v>
      </c>
      <c r="B164" t="s">
        <v>38</v>
      </c>
      <c r="C164" t="s">
        <v>293</v>
      </c>
      <c r="D164" t="s">
        <v>374</v>
      </c>
      <c r="E164" t="s">
        <v>375</v>
      </c>
      <c r="F164" t="s">
        <v>376</v>
      </c>
      <c r="G164" t="s">
        <v>389</v>
      </c>
      <c r="H164">
        <v>622050</v>
      </c>
      <c r="I164">
        <v>691387.54</v>
      </c>
      <c r="J164" t="s">
        <v>18</v>
      </c>
      <c r="K164" t="s">
        <v>23</v>
      </c>
    </row>
    <row r="165" spans="1:11" x14ac:dyDescent="0.25">
      <c r="A165" t="s">
        <v>390</v>
      </c>
      <c r="B165" t="s">
        <v>42</v>
      </c>
      <c r="C165" t="s">
        <v>293</v>
      </c>
      <c r="D165" t="s">
        <v>374</v>
      </c>
      <c r="E165" t="s">
        <v>375</v>
      </c>
      <c r="F165" t="s">
        <v>376</v>
      </c>
      <c r="G165" t="s">
        <v>391</v>
      </c>
      <c r="H165">
        <v>497640</v>
      </c>
      <c r="I165">
        <v>568811.57999999996</v>
      </c>
      <c r="J165" t="s">
        <v>18</v>
      </c>
      <c r="K165" t="s">
        <v>19</v>
      </c>
    </row>
    <row r="166" spans="1:11" x14ac:dyDescent="0.25">
      <c r="A166" t="s">
        <v>392</v>
      </c>
      <c r="B166" t="s">
        <v>45</v>
      </c>
      <c r="C166" t="s">
        <v>293</v>
      </c>
      <c r="D166" t="s">
        <v>374</v>
      </c>
      <c r="E166" t="s">
        <v>375</v>
      </c>
      <c r="F166" t="s">
        <v>376</v>
      </c>
      <c r="G166" t="s">
        <v>393</v>
      </c>
      <c r="H166">
        <v>456170</v>
      </c>
      <c r="I166">
        <v>0</v>
      </c>
      <c r="J166" t="s">
        <v>50</v>
      </c>
      <c r="K166" t="s">
        <v>40</v>
      </c>
    </row>
    <row r="167" spans="1:11" x14ac:dyDescent="0.25">
      <c r="A167" t="s">
        <v>394</v>
      </c>
      <c r="B167" t="s">
        <v>48</v>
      </c>
      <c r="C167" t="s">
        <v>293</v>
      </c>
      <c r="D167" t="s">
        <v>374</v>
      </c>
      <c r="E167" t="s">
        <v>375</v>
      </c>
      <c r="F167" t="s">
        <v>376</v>
      </c>
      <c r="G167" t="s">
        <v>395</v>
      </c>
      <c r="H167">
        <v>331760</v>
      </c>
      <c r="I167">
        <v>0</v>
      </c>
      <c r="J167" t="s">
        <v>50</v>
      </c>
      <c r="K167" t="s">
        <v>23</v>
      </c>
    </row>
    <row r="168" spans="1:11" x14ac:dyDescent="0.25">
      <c r="A168" t="s">
        <v>396</v>
      </c>
      <c r="B168" t="s">
        <v>52</v>
      </c>
      <c r="C168" t="s">
        <v>293</v>
      </c>
      <c r="D168" t="s">
        <v>374</v>
      </c>
      <c r="E168" t="s">
        <v>375</v>
      </c>
      <c r="F168" t="s">
        <v>376</v>
      </c>
      <c r="G168" t="s">
        <v>397</v>
      </c>
      <c r="H168">
        <v>248820</v>
      </c>
      <c r="I168">
        <v>0</v>
      </c>
      <c r="J168" t="s">
        <v>50</v>
      </c>
      <c r="K168" t="s">
        <v>19</v>
      </c>
    </row>
    <row r="169" spans="1:11" x14ac:dyDescent="0.25">
      <c r="A169" t="s">
        <v>398</v>
      </c>
      <c r="B169" t="s">
        <v>55</v>
      </c>
      <c r="C169" t="s">
        <v>293</v>
      </c>
      <c r="D169" t="s">
        <v>374</v>
      </c>
      <c r="E169" t="s">
        <v>375</v>
      </c>
      <c r="F169" t="s">
        <v>376</v>
      </c>
      <c r="G169" t="s">
        <v>399</v>
      </c>
      <c r="H169">
        <v>207350</v>
      </c>
      <c r="I169">
        <v>0</v>
      </c>
      <c r="J169" t="s">
        <v>50</v>
      </c>
      <c r="K169" t="s">
        <v>19</v>
      </c>
    </row>
    <row r="170" spans="1:11" x14ac:dyDescent="0.25">
      <c r="A170" t="s">
        <v>400</v>
      </c>
      <c r="B170" t="s">
        <v>12</v>
      </c>
      <c r="C170" t="s">
        <v>293</v>
      </c>
      <c r="D170" t="s">
        <v>401</v>
      </c>
      <c r="E170" t="s">
        <v>402</v>
      </c>
      <c r="F170" t="s">
        <v>296</v>
      </c>
      <c r="G170" t="s">
        <v>403</v>
      </c>
      <c r="H170">
        <v>69960</v>
      </c>
      <c r="I170">
        <v>74429.89</v>
      </c>
      <c r="J170" t="s">
        <v>18</v>
      </c>
      <c r="K170" t="s">
        <v>23</v>
      </c>
    </row>
    <row r="171" spans="1:11" x14ac:dyDescent="0.25">
      <c r="A171" t="s">
        <v>404</v>
      </c>
      <c r="B171" t="s">
        <v>21</v>
      </c>
      <c r="C171" t="s">
        <v>293</v>
      </c>
      <c r="D171" t="s">
        <v>401</v>
      </c>
      <c r="E171" t="s">
        <v>402</v>
      </c>
      <c r="F171" t="s">
        <v>296</v>
      </c>
      <c r="G171" t="s">
        <v>405</v>
      </c>
      <c r="H171">
        <v>104940</v>
      </c>
      <c r="I171">
        <v>116975.39</v>
      </c>
      <c r="J171" t="s">
        <v>18</v>
      </c>
      <c r="K171" t="s">
        <v>27</v>
      </c>
    </row>
    <row r="172" spans="1:11" x14ac:dyDescent="0.25">
      <c r="A172" t="s">
        <v>406</v>
      </c>
      <c r="B172" t="s">
        <v>25</v>
      </c>
      <c r="C172" t="s">
        <v>293</v>
      </c>
      <c r="D172" t="s">
        <v>401</v>
      </c>
      <c r="E172" t="s">
        <v>402</v>
      </c>
      <c r="F172" t="s">
        <v>296</v>
      </c>
      <c r="G172" t="s">
        <v>407</v>
      </c>
      <c r="H172">
        <v>174900</v>
      </c>
      <c r="I172">
        <v>196588.78</v>
      </c>
      <c r="J172" t="s">
        <v>18</v>
      </c>
      <c r="K172" t="s">
        <v>19</v>
      </c>
    </row>
    <row r="173" spans="1:11" x14ac:dyDescent="0.25">
      <c r="A173" t="s">
        <v>408</v>
      </c>
      <c r="B173" t="s">
        <v>29</v>
      </c>
      <c r="C173" t="s">
        <v>293</v>
      </c>
      <c r="D173" t="s">
        <v>401</v>
      </c>
      <c r="E173" t="s">
        <v>402</v>
      </c>
      <c r="F173" t="s">
        <v>296</v>
      </c>
      <c r="G173" t="s">
        <v>409</v>
      </c>
      <c r="H173">
        <v>279840</v>
      </c>
      <c r="I173">
        <v>295212.14</v>
      </c>
      <c r="J173" t="s">
        <v>18</v>
      </c>
      <c r="K173" t="s">
        <v>27</v>
      </c>
    </row>
    <row r="174" spans="1:11" x14ac:dyDescent="0.25">
      <c r="A174" t="s">
        <v>410</v>
      </c>
      <c r="B174" t="s">
        <v>32</v>
      </c>
      <c r="C174" t="s">
        <v>293</v>
      </c>
      <c r="D174" t="s">
        <v>401</v>
      </c>
      <c r="E174" t="s">
        <v>402</v>
      </c>
      <c r="F174" t="s">
        <v>296</v>
      </c>
      <c r="G174" t="s">
        <v>411</v>
      </c>
      <c r="H174">
        <v>384780</v>
      </c>
      <c r="I174">
        <v>444680.52</v>
      </c>
      <c r="J174" t="s">
        <v>18</v>
      </c>
      <c r="K174" t="s">
        <v>23</v>
      </c>
    </row>
    <row r="175" spans="1:11" x14ac:dyDescent="0.25">
      <c r="A175" t="s">
        <v>412</v>
      </c>
      <c r="B175" t="s">
        <v>35</v>
      </c>
      <c r="C175" t="s">
        <v>293</v>
      </c>
      <c r="D175" t="s">
        <v>401</v>
      </c>
      <c r="E175" t="s">
        <v>402</v>
      </c>
      <c r="F175" t="s">
        <v>296</v>
      </c>
      <c r="G175" t="s">
        <v>413</v>
      </c>
      <c r="H175">
        <v>489720</v>
      </c>
      <c r="I175">
        <v>518731.64</v>
      </c>
      <c r="J175" t="s">
        <v>18</v>
      </c>
      <c r="K175" t="s">
        <v>23</v>
      </c>
    </row>
    <row r="176" spans="1:11" x14ac:dyDescent="0.25">
      <c r="A176" t="s">
        <v>414</v>
      </c>
      <c r="B176" t="s">
        <v>38</v>
      </c>
      <c r="C176" t="s">
        <v>293</v>
      </c>
      <c r="D176" t="s">
        <v>401</v>
      </c>
      <c r="E176" t="s">
        <v>402</v>
      </c>
      <c r="F176" t="s">
        <v>296</v>
      </c>
      <c r="G176" t="s">
        <v>415</v>
      </c>
      <c r="H176">
        <v>524700</v>
      </c>
      <c r="I176">
        <v>552300.1</v>
      </c>
      <c r="J176" t="s">
        <v>18</v>
      </c>
      <c r="K176" t="s">
        <v>40</v>
      </c>
    </row>
    <row r="177" spans="1:11" x14ac:dyDescent="0.25">
      <c r="A177" t="s">
        <v>416</v>
      </c>
      <c r="B177" t="s">
        <v>42</v>
      </c>
      <c r="C177" t="s">
        <v>293</v>
      </c>
      <c r="D177" t="s">
        <v>401</v>
      </c>
      <c r="E177" t="s">
        <v>402</v>
      </c>
      <c r="F177" t="s">
        <v>296</v>
      </c>
      <c r="G177" t="s">
        <v>417</v>
      </c>
      <c r="H177">
        <v>419760</v>
      </c>
      <c r="I177">
        <v>463893.48</v>
      </c>
      <c r="J177" t="s">
        <v>18</v>
      </c>
      <c r="K177" t="s">
        <v>40</v>
      </c>
    </row>
    <row r="178" spans="1:11" x14ac:dyDescent="0.25">
      <c r="A178" t="s">
        <v>418</v>
      </c>
      <c r="B178" t="s">
        <v>45</v>
      </c>
      <c r="C178" t="s">
        <v>293</v>
      </c>
      <c r="D178" t="s">
        <v>401</v>
      </c>
      <c r="E178" t="s">
        <v>402</v>
      </c>
      <c r="F178" t="s">
        <v>296</v>
      </c>
      <c r="G178" t="s">
        <v>419</v>
      </c>
      <c r="H178">
        <v>384780</v>
      </c>
      <c r="I178">
        <v>0</v>
      </c>
      <c r="J178" t="s">
        <v>50</v>
      </c>
      <c r="K178" t="s">
        <v>23</v>
      </c>
    </row>
    <row r="179" spans="1:11" x14ac:dyDescent="0.25">
      <c r="A179" t="s">
        <v>420</v>
      </c>
      <c r="B179" t="s">
        <v>48</v>
      </c>
      <c r="C179" t="s">
        <v>293</v>
      </c>
      <c r="D179" t="s">
        <v>401</v>
      </c>
      <c r="E179" t="s">
        <v>402</v>
      </c>
      <c r="F179" t="s">
        <v>296</v>
      </c>
      <c r="G179" t="s">
        <v>421</v>
      </c>
      <c r="H179">
        <v>279840</v>
      </c>
      <c r="I179">
        <v>0</v>
      </c>
      <c r="J179" t="s">
        <v>50</v>
      </c>
      <c r="K179" t="s">
        <v>27</v>
      </c>
    </row>
    <row r="180" spans="1:11" x14ac:dyDescent="0.25">
      <c r="A180" t="s">
        <v>422</v>
      </c>
      <c r="B180" t="s">
        <v>52</v>
      </c>
      <c r="C180" t="s">
        <v>293</v>
      </c>
      <c r="D180" t="s">
        <v>401</v>
      </c>
      <c r="E180" t="s">
        <v>402</v>
      </c>
      <c r="F180" t="s">
        <v>296</v>
      </c>
      <c r="G180" t="s">
        <v>423</v>
      </c>
      <c r="H180">
        <v>209880</v>
      </c>
      <c r="I180">
        <v>0</v>
      </c>
      <c r="J180" t="s">
        <v>50</v>
      </c>
      <c r="K180" t="s">
        <v>27</v>
      </c>
    </row>
    <row r="181" spans="1:11" x14ac:dyDescent="0.25">
      <c r="A181" t="s">
        <v>424</v>
      </c>
      <c r="B181" t="s">
        <v>55</v>
      </c>
      <c r="C181" t="s">
        <v>293</v>
      </c>
      <c r="D181" t="s">
        <v>401</v>
      </c>
      <c r="E181" t="s">
        <v>402</v>
      </c>
      <c r="F181" t="s">
        <v>296</v>
      </c>
      <c r="G181" t="s">
        <v>425</v>
      </c>
      <c r="H181">
        <v>174900</v>
      </c>
      <c r="I181">
        <v>0</v>
      </c>
      <c r="J181" t="s">
        <v>50</v>
      </c>
      <c r="K181" t="s">
        <v>40</v>
      </c>
    </row>
    <row r="182" spans="1:11" x14ac:dyDescent="0.25">
      <c r="A182" t="s">
        <v>426</v>
      </c>
      <c r="B182" t="s">
        <v>12</v>
      </c>
      <c r="C182" t="s">
        <v>293</v>
      </c>
      <c r="D182" t="s">
        <v>427</v>
      </c>
      <c r="E182" t="s">
        <v>428</v>
      </c>
      <c r="F182" t="s">
        <v>376</v>
      </c>
      <c r="G182" t="s">
        <v>429</v>
      </c>
      <c r="H182">
        <v>126880</v>
      </c>
      <c r="I182">
        <v>134434.91</v>
      </c>
      <c r="J182" t="s">
        <v>18</v>
      </c>
      <c r="K182" t="s">
        <v>23</v>
      </c>
    </row>
    <row r="183" spans="1:11" x14ac:dyDescent="0.25">
      <c r="A183" t="s">
        <v>430</v>
      </c>
      <c r="B183" t="s">
        <v>21</v>
      </c>
      <c r="C183" t="s">
        <v>293</v>
      </c>
      <c r="D183" t="s">
        <v>427</v>
      </c>
      <c r="E183" t="s">
        <v>428</v>
      </c>
      <c r="F183" t="s">
        <v>376</v>
      </c>
      <c r="G183" t="s">
        <v>431</v>
      </c>
      <c r="H183">
        <v>190320</v>
      </c>
      <c r="I183">
        <v>213069.35</v>
      </c>
      <c r="J183" t="s">
        <v>18</v>
      </c>
      <c r="K183" t="s">
        <v>19</v>
      </c>
    </row>
    <row r="184" spans="1:11" x14ac:dyDescent="0.25">
      <c r="A184" t="s">
        <v>432</v>
      </c>
      <c r="B184" t="s">
        <v>25</v>
      </c>
      <c r="C184" t="s">
        <v>293</v>
      </c>
      <c r="D184" t="s">
        <v>427</v>
      </c>
      <c r="E184" t="s">
        <v>428</v>
      </c>
      <c r="F184" t="s">
        <v>376</v>
      </c>
      <c r="G184" t="s">
        <v>433</v>
      </c>
      <c r="H184">
        <v>317200</v>
      </c>
      <c r="I184">
        <v>338090.11</v>
      </c>
      <c r="J184" t="s">
        <v>18</v>
      </c>
      <c r="K184" t="s">
        <v>27</v>
      </c>
    </row>
    <row r="185" spans="1:11" x14ac:dyDescent="0.25">
      <c r="A185" t="s">
        <v>434</v>
      </c>
      <c r="B185" t="s">
        <v>29</v>
      </c>
      <c r="C185" t="s">
        <v>293</v>
      </c>
      <c r="D185" t="s">
        <v>427</v>
      </c>
      <c r="E185" t="s">
        <v>428</v>
      </c>
      <c r="F185" t="s">
        <v>376</v>
      </c>
      <c r="G185" t="s">
        <v>435</v>
      </c>
      <c r="H185">
        <v>507520</v>
      </c>
      <c r="I185">
        <v>558947.12</v>
      </c>
      <c r="J185" t="s">
        <v>18</v>
      </c>
      <c r="K185" t="s">
        <v>40</v>
      </c>
    </row>
    <row r="186" spans="1:11" x14ac:dyDescent="0.25">
      <c r="A186" t="s">
        <v>436</v>
      </c>
      <c r="B186" t="s">
        <v>32</v>
      </c>
      <c r="C186" t="s">
        <v>293</v>
      </c>
      <c r="D186" t="s">
        <v>427</v>
      </c>
      <c r="E186" t="s">
        <v>428</v>
      </c>
      <c r="F186" t="s">
        <v>376</v>
      </c>
      <c r="G186" t="s">
        <v>437</v>
      </c>
      <c r="H186">
        <v>697840</v>
      </c>
      <c r="I186">
        <v>758970.14</v>
      </c>
      <c r="J186" t="s">
        <v>18</v>
      </c>
      <c r="K186" t="s">
        <v>23</v>
      </c>
    </row>
    <row r="187" spans="1:11" x14ac:dyDescent="0.25">
      <c r="A187" t="s">
        <v>438</v>
      </c>
      <c r="B187" t="s">
        <v>35</v>
      </c>
      <c r="C187" t="s">
        <v>293</v>
      </c>
      <c r="D187" t="s">
        <v>427</v>
      </c>
      <c r="E187" t="s">
        <v>428</v>
      </c>
      <c r="F187" t="s">
        <v>376</v>
      </c>
      <c r="G187" t="s">
        <v>439</v>
      </c>
      <c r="H187">
        <v>888160</v>
      </c>
      <c r="I187">
        <v>971850.74</v>
      </c>
      <c r="J187" t="s">
        <v>18</v>
      </c>
      <c r="K187" t="s">
        <v>40</v>
      </c>
    </row>
    <row r="188" spans="1:11" x14ac:dyDescent="0.25">
      <c r="A188" t="s">
        <v>440</v>
      </c>
      <c r="B188" t="s">
        <v>38</v>
      </c>
      <c r="C188" t="s">
        <v>293</v>
      </c>
      <c r="D188" t="s">
        <v>427</v>
      </c>
      <c r="E188" t="s">
        <v>428</v>
      </c>
      <c r="F188" t="s">
        <v>376</v>
      </c>
      <c r="G188" t="s">
        <v>441</v>
      </c>
      <c r="H188">
        <v>951600</v>
      </c>
      <c r="I188">
        <v>1000399.14</v>
      </c>
      <c r="J188" t="s">
        <v>18</v>
      </c>
      <c r="K188" t="s">
        <v>40</v>
      </c>
    </row>
    <row r="189" spans="1:11" x14ac:dyDescent="0.25">
      <c r="A189" t="s">
        <v>442</v>
      </c>
      <c r="B189" t="s">
        <v>42</v>
      </c>
      <c r="C189" t="s">
        <v>293</v>
      </c>
      <c r="D189" t="s">
        <v>427</v>
      </c>
      <c r="E189" t="s">
        <v>428</v>
      </c>
      <c r="F189" t="s">
        <v>376</v>
      </c>
      <c r="G189" t="s">
        <v>443</v>
      </c>
      <c r="H189">
        <v>761280</v>
      </c>
      <c r="I189">
        <v>898653.2</v>
      </c>
      <c r="J189" t="s">
        <v>18</v>
      </c>
      <c r="K189" t="s">
        <v>23</v>
      </c>
    </row>
    <row r="190" spans="1:11" x14ac:dyDescent="0.25">
      <c r="A190" t="s">
        <v>444</v>
      </c>
      <c r="B190" t="s">
        <v>45</v>
      </c>
      <c r="C190" t="s">
        <v>293</v>
      </c>
      <c r="D190" t="s">
        <v>427</v>
      </c>
      <c r="E190" t="s">
        <v>428</v>
      </c>
      <c r="F190" t="s">
        <v>376</v>
      </c>
      <c r="G190" t="s">
        <v>445</v>
      </c>
      <c r="H190">
        <v>697840</v>
      </c>
      <c r="I190">
        <v>0</v>
      </c>
      <c r="J190" t="s">
        <v>50</v>
      </c>
      <c r="K190" t="s">
        <v>40</v>
      </c>
    </row>
    <row r="191" spans="1:11" x14ac:dyDescent="0.25">
      <c r="A191" t="s">
        <v>446</v>
      </c>
      <c r="B191" t="s">
        <v>48</v>
      </c>
      <c r="C191" t="s">
        <v>293</v>
      </c>
      <c r="D191" t="s">
        <v>427</v>
      </c>
      <c r="E191" t="s">
        <v>428</v>
      </c>
      <c r="F191" t="s">
        <v>376</v>
      </c>
      <c r="G191" t="s">
        <v>447</v>
      </c>
      <c r="H191">
        <v>507520</v>
      </c>
      <c r="I191">
        <v>0</v>
      </c>
      <c r="J191" t="s">
        <v>50</v>
      </c>
      <c r="K191" t="s">
        <v>40</v>
      </c>
    </row>
    <row r="192" spans="1:11" x14ac:dyDescent="0.25">
      <c r="A192" t="s">
        <v>448</v>
      </c>
      <c r="B192" t="s">
        <v>52</v>
      </c>
      <c r="C192" t="s">
        <v>293</v>
      </c>
      <c r="D192" t="s">
        <v>427</v>
      </c>
      <c r="E192" t="s">
        <v>428</v>
      </c>
      <c r="F192" t="s">
        <v>376</v>
      </c>
      <c r="G192" t="s">
        <v>449</v>
      </c>
      <c r="H192">
        <v>380640</v>
      </c>
      <c r="I192">
        <v>0</v>
      </c>
      <c r="J192" t="s">
        <v>50</v>
      </c>
      <c r="K192" t="s">
        <v>40</v>
      </c>
    </row>
    <row r="193" spans="1:11" x14ac:dyDescent="0.25">
      <c r="A193" t="s">
        <v>450</v>
      </c>
      <c r="B193" t="s">
        <v>55</v>
      </c>
      <c r="C193" t="s">
        <v>293</v>
      </c>
      <c r="D193" t="s">
        <v>427</v>
      </c>
      <c r="E193" t="s">
        <v>428</v>
      </c>
      <c r="F193" t="s">
        <v>376</v>
      </c>
      <c r="G193" t="s">
        <v>451</v>
      </c>
      <c r="H193">
        <v>317200</v>
      </c>
      <c r="I193">
        <v>0</v>
      </c>
      <c r="J193" t="s">
        <v>50</v>
      </c>
      <c r="K193" t="s">
        <v>19</v>
      </c>
    </row>
    <row r="194" spans="1:11" x14ac:dyDescent="0.25">
      <c r="A194" t="s">
        <v>452</v>
      </c>
      <c r="B194" t="s">
        <v>12</v>
      </c>
      <c r="C194" t="s">
        <v>293</v>
      </c>
      <c r="D194" t="s">
        <v>453</v>
      </c>
      <c r="E194" t="s">
        <v>454</v>
      </c>
      <c r="F194" t="s">
        <v>323</v>
      </c>
      <c r="G194" t="s">
        <v>455</v>
      </c>
      <c r="H194">
        <v>35640</v>
      </c>
      <c r="I194">
        <v>36998.14</v>
      </c>
      <c r="J194" t="s">
        <v>18</v>
      </c>
      <c r="K194" t="s">
        <v>27</v>
      </c>
    </row>
    <row r="195" spans="1:11" x14ac:dyDescent="0.25">
      <c r="A195" t="s">
        <v>456</v>
      </c>
      <c r="B195" t="s">
        <v>21</v>
      </c>
      <c r="C195" t="s">
        <v>293</v>
      </c>
      <c r="D195" t="s">
        <v>453</v>
      </c>
      <c r="E195" t="s">
        <v>454</v>
      </c>
      <c r="F195" t="s">
        <v>323</v>
      </c>
      <c r="G195" t="s">
        <v>457</v>
      </c>
      <c r="H195">
        <v>53460</v>
      </c>
      <c r="I195">
        <v>61374.23</v>
      </c>
      <c r="J195" t="s">
        <v>18</v>
      </c>
      <c r="K195" t="s">
        <v>27</v>
      </c>
    </row>
    <row r="196" spans="1:11" x14ac:dyDescent="0.25">
      <c r="A196" t="s">
        <v>458</v>
      </c>
      <c r="B196" t="s">
        <v>25</v>
      </c>
      <c r="C196" t="s">
        <v>293</v>
      </c>
      <c r="D196" t="s">
        <v>453</v>
      </c>
      <c r="E196" t="s">
        <v>454</v>
      </c>
      <c r="F196" t="s">
        <v>323</v>
      </c>
      <c r="G196" t="s">
        <v>459</v>
      </c>
      <c r="H196">
        <v>89100</v>
      </c>
      <c r="I196">
        <v>96174.75</v>
      </c>
      <c r="J196" t="s">
        <v>18</v>
      </c>
      <c r="K196" t="s">
        <v>23</v>
      </c>
    </row>
    <row r="197" spans="1:11" x14ac:dyDescent="0.25">
      <c r="A197" t="s">
        <v>460</v>
      </c>
      <c r="B197" t="s">
        <v>29</v>
      </c>
      <c r="C197" t="s">
        <v>293</v>
      </c>
      <c r="D197" t="s">
        <v>453</v>
      </c>
      <c r="E197" t="s">
        <v>454</v>
      </c>
      <c r="F197" t="s">
        <v>323</v>
      </c>
      <c r="G197" t="s">
        <v>461</v>
      </c>
      <c r="H197">
        <v>142560</v>
      </c>
      <c r="I197">
        <v>154323.67000000001</v>
      </c>
      <c r="J197" t="s">
        <v>18</v>
      </c>
      <c r="K197" t="s">
        <v>23</v>
      </c>
    </row>
    <row r="198" spans="1:11" x14ac:dyDescent="0.25">
      <c r="A198" t="s">
        <v>462</v>
      </c>
      <c r="B198" t="s">
        <v>32</v>
      </c>
      <c r="C198" t="s">
        <v>293</v>
      </c>
      <c r="D198" t="s">
        <v>453</v>
      </c>
      <c r="E198" t="s">
        <v>454</v>
      </c>
      <c r="F198" t="s">
        <v>323</v>
      </c>
      <c r="G198" t="s">
        <v>463</v>
      </c>
      <c r="H198">
        <v>196020</v>
      </c>
      <c r="I198">
        <v>210713.88</v>
      </c>
      <c r="J198" t="s">
        <v>18</v>
      </c>
      <c r="K198" t="s">
        <v>40</v>
      </c>
    </row>
    <row r="199" spans="1:11" x14ac:dyDescent="0.25">
      <c r="A199" t="s">
        <v>464</v>
      </c>
      <c r="B199" t="s">
        <v>35</v>
      </c>
      <c r="C199" t="s">
        <v>293</v>
      </c>
      <c r="D199" t="s">
        <v>453</v>
      </c>
      <c r="E199" t="s">
        <v>454</v>
      </c>
      <c r="F199" t="s">
        <v>323</v>
      </c>
      <c r="G199" t="s">
        <v>465</v>
      </c>
      <c r="H199">
        <v>249480</v>
      </c>
      <c r="I199">
        <v>280509.74</v>
      </c>
      <c r="J199" t="s">
        <v>18</v>
      </c>
      <c r="K199" t="s">
        <v>23</v>
      </c>
    </row>
    <row r="200" spans="1:11" x14ac:dyDescent="0.25">
      <c r="A200" t="s">
        <v>466</v>
      </c>
      <c r="B200" t="s">
        <v>38</v>
      </c>
      <c r="C200" t="s">
        <v>293</v>
      </c>
      <c r="D200" t="s">
        <v>453</v>
      </c>
      <c r="E200" t="s">
        <v>454</v>
      </c>
      <c r="F200" t="s">
        <v>323</v>
      </c>
      <c r="G200" t="s">
        <v>467</v>
      </c>
      <c r="H200">
        <v>267300</v>
      </c>
      <c r="I200">
        <v>301426.43</v>
      </c>
      <c r="J200" t="s">
        <v>18</v>
      </c>
      <c r="K200" t="s">
        <v>19</v>
      </c>
    </row>
    <row r="201" spans="1:11" x14ac:dyDescent="0.25">
      <c r="A201" t="s">
        <v>468</v>
      </c>
      <c r="B201" t="s">
        <v>42</v>
      </c>
      <c r="C201" t="s">
        <v>293</v>
      </c>
      <c r="D201" t="s">
        <v>453</v>
      </c>
      <c r="E201" t="s">
        <v>454</v>
      </c>
      <c r="F201" t="s">
        <v>323</v>
      </c>
      <c r="G201" t="s">
        <v>469</v>
      </c>
      <c r="H201">
        <v>213840</v>
      </c>
      <c r="I201">
        <v>241702.26</v>
      </c>
      <c r="J201" t="s">
        <v>18</v>
      </c>
      <c r="K201" t="s">
        <v>27</v>
      </c>
    </row>
    <row r="202" spans="1:11" x14ac:dyDescent="0.25">
      <c r="A202" t="s">
        <v>470</v>
      </c>
      <c r="B202" t="s">
        <v>45</v>
      </c>
      <c r="C202" t="s">
        <v>293</v>
      </c>
      <c r="D202" t="s">
        <v>453</v>
      </c>
      <c r="E202" t="s">
        <v>454</v>
      </c>
      <c r="F202" t="s">
        <v>323</v>
      </c>
      <c r="G202" t="s">
        <v>471</v>
      </c>
      <c r="H202">
        <v>196020</v>
      </c>
      <c r="I202">
        <v>0</v>
      </c>
      <c r="J202" t="s">
        <v>50</v>
      </c>
      <c r="K202" t="s">
        <v>27</v>
      </c>
    </row>
    <row r="203" spans="1:11" x14ac:dyDescent="0.25">
      <c r="A203" t="s">
        <v>472</v>
      </c>
      <c r="B203" t="s">
        <v>48</v>
      </c>
      <c r="C203" t="s">
        <v>293</v>
      </c>
      <c r="D203" t="s">
        <v>453</v>
      </c>
      <c r="E203" t="s">
        <v>454</v>
      </c>
      <c r="F203" t="s">
        <v>323</v>
      </c>
      <c r="G203" t="s">
        <v>473</v>
      </c>
      <c r="H203">
        <v>142560</v>
      </c>
      <c r="I203">
        <v>0</v>
      </c>
      <c r="J203" t="s">
        <v>50</v>
      </c>
      <c r="K203" t="s">
        <v>40</v>
      </c>
    </row>
    <row r="204" spans="1:11" x14ac:dyDescent="0.25">
      <c r="A204" t="s">
        <v>474</v>
      </c>
      <c r="B204" t="s">
        <v>52</v>
      </c>
      <c r="C204" t="s">
        <v>293</v>
      </c>
      <c r="D204" t="s">
        <v>453</v>
      </c>
      <c r="E204" t="s">
        <v>454</v>
      </c>
      <c r="F204" t="s">
        <v>323</v>
      </c>
      <c r="G204" t="s">
        <v>475</v>
      </c>
      <c r="H204">
        <v>106920</v>
      </c>
      <c r="I204">
        <v>0</v>
      </c>
      <c r="J204" t="s">
        <v>50</v>
      </c>
      <c r="K204" t="s">
        <v>27</v>
      </c>
    </row>
    <row r="205" spans="1:11" x14ac:dyDescent="0.25">
      <c r="A205" t="s">
        <v>476</v>
      </c>
      <c r="B205" t="s">
        <v>55</v>
      </c>
      <c r="C205" t="s">
        <v>293</v>
      </c>
      <c r="D205" t="s">
        <v>453</v>
      </c>
      <c r="E205" t="s">
        <v>454</v>
      </c>
      <c r="F205" t="s">
        <v>323</v>
      </c>
      <c r="G205" t="s">
        <v>477</v>
      </c>
      <c r="H205">
        <v>89100</v>
      </c>
      <c r="I205">
        <v>0</v>
      </c>
      <c r="J205" t="s">
        <v>50</v>
      </c>
      <c r="K205" t="s">
        <v>19</v>
      </c>
    </row>
    <row r="206" spans="1:11" x14ac:dyDescent="0.25">
      <c r="A206" t="s">
        <v>478</v>
      </c>
      <c r="B206" t="s">
        <v>12</v>
      </c>
      <c r="C206" t="s">
        <v>293</v>
      </c>
      <c r="D206" t="s">
        <v>479</v>
      </c>
      <c r="E206" t="s">
        <v>480</v>
      </c>
      <c r="F206" t="s">
        <v>296</v>
      </c>
      <c r="G206" t="s">
        <v>481</v>
      </c>
      <c r="H206">
        <v>49820</v>
      </c>
      <c r="I206">
        <v>53147.89</v>
      </c>
      <c r="J206" t="s">
        <v>18</v>
      </c>
      <c r="K206" t="s">
        <v>27</v>
      </c>
    </row>
    <row r="207" spans="1:11" x14ac:dyDescent="0.25">
      <c r="A207" t="s">
        <v>482</v>
      </c>
      <c r="B207" t="s">
        <v>21</v>
      </c>
      <c r="C207" t="s">
        <v>293</v>
      </c>
      <c r="D207" t="s">
        <v>479</v>
      </c>
      <c r="E207" t="s">
        <v>480</v>
      </c>
      <c r="F207" t="s">
        <v>296</v>
      </c>
      <c r="G207" t="s">
        <v>483</v>
      </c>
      <c r="H207">
        <v>74730</v>
      </c>
      <c r="I207">
        <v>84810.66</v>
      </c>
      <c r="J207" t="s">
        <v>18</v>
      </c>
      <c r="K207" t="s">
        <v>40</v>
      </c>
    </row>
    <row r="208" spans="1:11" x14ac:dyDescent="0.25">
      <c r="A208" t="s">
        <v>484</v>
      </c>
      <c r="B208" t="s">
        <v>25</v>
      </c>
      <c r="C208" t="s">
        <v>293</v>
      </c>
      <c r="D208" t="s">
        <v>479</v>
      </c>
      <c r="E208" t="s">
        <v>480</v>
      </c>
      <c r="F208" t="s">
        <v>296</v>
      </c>
      <c r="G208" t="s">
        <v>485</v>
      </c>
      <c r="H208">
        <v>124550</v>
      </c>
      <c r="I208">
        <v>140266.03</v>
      </c>
      <c r="J208" t="s">
        <v>18</v>
      </c>
      <c r="K208" t="s">
        <v>19</v>
      </c>
    </row>
    <row r="209" spans="1:11" x14ac:dyDescent="0.25">
      <c r="A209" t="s">
        <v>486</v>
      </c>
      <c r="B209" t="s">
        <v>29</v>
      </c>
      <c r="C209" t="s">
        <v>293</v>
      </c>
      <c r="D209" t="s">
        <v>479</v>
      </c>
      <c r="E209" t="s">
        <v>480</v>
      </c>
      <c r="F209" t="s">
        <v>296</v>
      </c>
      <c r="G209" t="s">
        <v>487</v>
      </c>
      <c r="H209">
        <v>199280</v>
      </c>
      <c r="I209">
        <v>219857.96</v>
      </c>
      <c r="J209" t="s">
        <v>18</v>
      </c>
      <c r="K209" t="s">
        <v>40</v>
      </c>
    </row>
    <row r="210" spans="1:11" x14ac:dyDescent="0.25">
      <c r="A210" t="s">
        <v>488</v>
      </c>
      <c r="B210" t="s">
        <v>32</v>
      </c>
      <c r="C210" t="s">
        <v>293</v>
      </c>
      <c r="D210" t="s">
        <v>479</v>
      </c>
      <c r="E210" t="s">
        <v>480</v>
      </c>
      <c r="F210" t="s">
        <v>296</v>
      </c>
      <c r="G210" t="s">
        <v>489</v>
      </c>
      <c r="H210">
        <v>274010</v>
      </c>
      <c r="I210">
        <v>298483.53000000003</v>
      </c>
      <c r="J210" t="s">
        <v>18</v>
      </c>
      <c r="K210" t="s">
        <v>19</v>
      </c>
    </row>
    <row r="211" spans="1:11" x14ac:dyDescent="0.25">
      <c r="A211" t="s">
        <v>490</v>
      </c>
      <c r="B211" t="s">
        <v>35</v>
      </c>
      <c r="C211" t="s">
        <v>293</v>
      </c>
      <c r="D211" t="s">
        <v>479</v>
      </c>
      <c r="E211" t="s">
        <v>480</v>
      </c>
      <c r="F211" t="s">
        <v>296</v>
      </c>
      <c r="G211" t="s">
        <v>491</v>
      </c>
      <c r="H211">
        <v>348740</v>
      </c>
      <c r="I211">
        <v>360835.93</v>
      </c>
      <c r="J211" t="s">
        <v>18</v>
      </c>
      <c r="K211" t="s">
        <v>40</v>
      </c>
    </row>
    <row r="212" spans="1:11" x14ac:dyDescent="0.25">
      <c r="A212" t="s">
        <v>492</v>
      </c>
      <c r="B212" t="s">
        <v>38</v>
      </c>
      <c r="C212" t="s">
        <v>293</v>
      </c>
      <c r="D212" t="s">
        <v>479</v>
      </c>
      <c r="E212" t="s">
        <v>480</v>
      </c>
      <c r="F212" t="s">
        <v>296</v>
      </c>
      <c r="G212" t="s">
        <v>493</v>
      </c>
      <c r="H212">
        <v>373650</v>
      </c>
      <c r="I212">
        <v>422161.27</v>
      </c>
      <c r="J212" t="s">
        <v>18</v>
      </c>
      <c r="K212" t="s">
        <v>19</v>
      </c>
    </row>
    <row r="213" spans="1:11" x14ac:dyDescent="0.25">
      <c r="A213" t="s">
        <v>494</v>
      </c>
      <c r="B213" t="s">
        <v>42</v>
      </c>
      <c r="C213" t="s">
        <v>293</v>
      </c>
      <c r="D213" t="s">
        <v>479</v>
      </c>
      <c r="E213" t="s">
        <v>480</v>
      </c>
      <c r="F213" t="s">
        <v>296</v>
      </c>
      <c r="G213" t="s">
        <v>495</v>
      </c>
      <c r="H213">
        <v>298920</v>
      </c>
      <c r="I213">
        <v>360113.44</v>
      </c>
      <c r="J213" t="s">
        <v>18</v>
      </c>
      <c r="K213" t="s">
        <v>40</v>
      </c>
    </row>
    <row r="214" spans="1:11" x14ac:dyDescent="0.25">
      <c r="A214" t="s">
        <v>496</v>
      </c>
      <c r="B214" t="s">
        <v>45</v>
      </c>
      <c r="C214" t="s">
        <v>293</v>
      </c>
      <c r="D214" t="s">
        <v>479</v>
      </c>
      <c r="E214" t="s">
        <v>480</v>
      </c>
      <c r="F214" t="s">
        <v>296</v>
      </c>
      <c r="G214" t="s">
        <v>497</v>
      </c>
      <c r="H214">
        <v>274010</v>
      </c>
      <c r="I214">
        <v>0</v>
      </c>
      <c r="J214" t="s">
        <v>50</v>
      </c>
      <c r="K214" t="s">
        <v>19</v>
      </c>
    </row>
    <row r="215" spans="1:11" x14ac:dyDescent="0.25">
      <c r="A215" t="s">
        <v>498</v>
      </c>
      <c r="B215" t="s">
        <v>48</v>
      </c>
      <c r="C215" t="s">
        <v>293</v>
      </c>
      <c r="D215" t="s">
        <v>479</v>
      </c>
      <c r="E215" t="s">
        <v>480</v>
      </c>
      <c r="F215" t="s">
        <v>296</v>
      </c>
      <c r="G215" t="s">
        <v>499</v>
      </c>
      <c r="H215">
        <v>199280</v>
      </c>
      <c r="I215">
        <v>0</v>
      </c>
      <c r="J215" t="s">
        <v>50</v>
      </c>
      <c r="K215" t="s">
        <v>27</v>
      </c>
    </row>
    <row r="216" spans="1:11" x14ac:dyDescent="0.25">
      <c r="A216" t="s">
        <v>500</v>
      </c>
      <c r="B216" t="s">
        <v>52</v>
      </c>
      <c r="C216" t="s">
        <v>293</v>
      </c>
      <c r="D216" t="s">
        <v>479</v>
      </c>
      <c r="E216" t="s">
        <v>480</v>
      </c>
      <c r="F216" t="s">
        <v>296</v>
      </c>
      <c r="G216" t="s">
        <v>501</v>
      </c>
      <c r="H216">
        <v>149460</v>
      </c>
      <c r="I216">
        <v>0</v>
      </c>
      <c r="J216" t="s">
        <v>50</v>
      </c>
      <c r="K216" t="s">
        <v>23</v>
      </c>
    </row>
    <row r="217" spans="1:11" x14ac:dyDescent="0.25">
      <c r="A217" t="s">
        <v>502</v>
      </c>
      <c r="B217" t="s">
        <v>55</v>
      </c>
      <c r="C217" t="s">
        <v>293</v>
      </c>
      <c r="D217" t="s">
        <v>479</v>
      </c>
      <c r="E217" t="s">
        <v>480</v>
      </c>
      <c r="F217" t="s">
        <v>296</v>
      </c>
      <c r="G217" t="s">
        <v>503</v>
      </c>
      <c r="H217">
        <v>124550</v>
      </c>
      <c r="I217">
        <v>0</v>
      </c>
      <c r="J217" t="s">
        <v>50</v>
      </c>
      <c r="K217" t="s">
        <v>40</v>
      </c>
    </row>
    <row r="218" spans="1:11" x14ac:dyDescent="0.25">
      <c r="A218" t="s">
        <v>504</v>
      </c>
      <c r="B218" t="s">
        <v>12</v>
      </c>
      <c r="C218" t="s">
        <v>293</v>
      </c>
      <c r="D218" t="s">
        <v>505</v>
      </c>
      <c r="E218" t="s">
        <v>506</v>
      </c>
      <c r="F218" t="s">
        <v>376</v>
      </c>
      <c r="G218" t="s">
        <v>507</v>
      </c>
      <c r="H218">
        <v>81020</v>
      </c>
      <c r="I218">
        <v>86203.31</v>
      </c>
      <c r="J218" t="s">
        <v>18</v>
      </c>
      <c r="K218" t="s">
        <v>19</v>
      </c>
    </row>
    <row r="219" spans="1:11" x14ac:dyDescent="0.25">
      <c r="A219" t="s">
        <v>508</v>
      </c>
      <c r="B219" t="s">
        <v>21</v>
      </c>
      <c r="C219" t="s">
        <v>293</v>
      </c>
      <c r="D219" t="s">
        <v>505</v>
      </c>
      <c r="E219" t="s">
        <v>506</v>
      </c>
      <c r="F219" t="s">
        <v>376</v>
      </c>
      <c r="G219" t="s">
        <v>509</v>
      </c>
      <c r="H219">
        <v>121530</v>
      </c>
      <c r="I219">
        <v>131531.1</v>
      </c>
      <c r="J219" t="s">
        <v>18</v>
      </c>
      <c r="K219" t="s">
        <v>23</v>
      </c>
    </row>
    <row r="220" spans="1:11" x14ac:dyDescent="0.25">
      <c r="A220" t="s">
        <v>510</v>
      </c>
      <c r="B220" t="s">
        <v>25</v>
      </c>
      <c r="C220" t="s">
        <v>293</v>
      </c>
      <c r="D220" t="s">
        <v>505</v>
      </c>
      <c r="E220" t="s">
        <v>506</v>
      </c>
      <c r="F220" t="s">
        <v>376</v>
      </c>
      <c r="G220" t="s">
        <v>511</v>
      </c>
      <c r="H220">
        <v>202550</v>
      </c>
      <c r="I220">
        <v>223435.23</v>
      </c>
      <c r="J220" t="s">
        <v>18</v>
      </c>
      <c r="K220" t="s">
        <v>19</v>
      </c>
    </row>
    <row r="221" spans="1:11" x14ac:dyDescent="0.25">
      <c r="A221" t="s">
        <v>512</v>
      </c>
      <c r="B221" t="s">
        <v>29</v>
      </c>
      <c r="C221" t="s">
        <v>293</v>
      </c>
      <c r="D221" t="s">
        <v>505</v>
      </c>
      <c r="E221" t="s">
        <v>506</v>
      </c>
      <c r="F221" t="s">
        <v>376</v>
      </c>
      <c r="G221" t="s">
        <v>513</v>
      </c>
      <c r="H221">
        <v>324080</v>
      </c>
      <c r="I221">
        <v>364543.05</v>
      </c>
      <c r="J221" t="s">
        <v>18</v>
      </c>
      <c r="K221" t="s">
        <v>19</v>
      </c>
    </row>
    <row r="222" spans="1:11" x14ac:dyDescent="0.25">
      <c r="A222" t="s">
        <v>514</v>
      </c>
      <c r="B222" t="s">
        <v>32</v>
      </c>
      <c r="C222" t="s">
        <v>293</v>
      </c>
      <c r="D222" t="s">
        <v>505</v>
      </c>
      <c r="E222" t="s">
        <v>506</v>
      </c>
      <c r="F222" t="s">
        <v>376</v>
      </c>
      <c r="G222" t="s">
        <v>515</v>
      </c>
      <c r="H222">
        <v>445610</v>
      </c>
      <c r="I222">
        <v>518059.93</v>
      </c>
      <c r="J222" t="s">
        <v>18</v>
      </c>
      <c r="K222" t="s">
        <v>23</v>
      </c>
    </row>
    <row r="223" spans="1:11" x14ac:dyDescent="0.25">
      <c r="A223" t="s">
        <v>516</v>
      </c>
      <c r="B223" t="s">
        <v>35</v>
      </c>
      <c r="C223" t="s">
        <v>293</v>
      </c>
      <c r="D223" t="s">
        <v>505</v>
      </c>
      <c r="E223" t="s">
        <v>506</v>
      </c>
      <c r="F223" t="s">
        <v>376</v>
      </c>
      <c r="G223" t="s">
        <v>517</v>
      </c>
      <c r="H223">
        <v>567140</v>
      </c>
      <c r="I223">
        <v>635379.12</v>
      </c>
      <c r="J223" t="s">
        <v>18</v>
      </c>
      <c r="K223" t="s">
        <v>40</v>
      </c>
    </row>
    <row r="224" spans="1:11" x14ac:dyDescent="0.25">
      <c r="A224" t="s">
        <v>518</v>
      </c>
      <c r="B224" t="s">
        <v>38</v>
      </c>
      <c r="C224" t="s">
        <v>293</v>
      </c>
      <c r="D224" t="s">
        <v>505</v>
      </c>
      <c r="E224" t="s">
        <v>506</v>
      </c>
      <c r="F224" t="s">
        <v>376</v>
      </c>
      <c r="G224" t="s">
        <v>519</v>
      </c>
      <c r="H224">
        <v>607650</v>
      </c>
      <c r="I224">
        <v>678793.55</v>
      </c>
      <c r="J224" t="s">
        <v>18</v>
      </c>
      <c r="K224" t="s">
        <v>23</v>
      </c>
    </row>
    <row r="225" spans="1:11" x14ac:dyDescent="0.25">
      <c r="A225" t="s">
        <v>520</v>
      </c>
      <c r="B225" t="s">
        <v>42</v>
      </c>
      <c r="C225" t="s">
        <v>293</v>
      </c>
      <c r="D225" t="s">
        <v>505</v>
      </c>
      <c r="E225" t="s">
        <v>506</v>
      </c>
      <c r="F225" t="s">
        <v>376</v>
      </c>
      <c r="G225" t="s">
        <v>521</v>
      </c>
      <c r="H225">
        <v>486120</v>
      </c>
      <c r="I225">
        <v>571086.65</v>
      </c>
      <c r="J225" t="s">
        <v>18</v>
      </c>
      <c r="K225" t="s">
        <v>40</v>
      </c>
    </row>
    <row r="226" spans="1:11" x14ac:dyDescent="0.25">
      <c r="A226" t="s">
        <v>522</v>
      </c>
      <c r="B226" t="s">
        <v>45</v>
      </c>
      <c r="C226" t="s">
        <v>293</v>
      </c>
      <c r="D226" t="s">
        <v>505</v>
      </c>
      <c r="E226" t="s">
        <v>506</v>
      </c>
      <c r="F226" t="s">
        <v>376</v>
      </c>
      <c r="G226" t="s">
        <v>523</v>
      </c>
      <c r="H226">
        <v>445610</v>
      </c>
      <c r="I226">
        <v>0</v>
      </c>
      <c r="J226" t="s">
        <v>50</v>
      </c>
      <c r="K226" t="s">
        <v>27</v>
      </c>
    </row>
    <row r="227" spans="1:11" x14ac:dyDescent="0.25">
      <c r="A227" t="s">
        <v>524</v>
      </c>
      <c r="B227" t="s">
        <v>48</v>
      </c>
      <c r="C227" t="s">
        <v>293</v>
      </c>
      <c r="D227" t="s">
        <v>505</v>
      </c>
      <c r="E227" t="s">
        <v>506</v>
      </c>
      <c r="F227" t="s">
        <v>376</v>
      </c>
      <c r="G227" t="s">
        <v>525</v>
      </c>
      <c r="H227">
        <v>324080</v>
      </c>
      <c r="I227">
        <v>0</v>
      </c>
      <c r="J227" t="s">
        <v>50</v>
      </c>
      <c r="K227" t="s">
        <v>40</v>
      </c>
    </row>
    <row r="228" spans="1:11" x14ac:dyDescent="0.25">
      <c r="A228" t="s">
        <v>526</v>
      </c>
      <c r="B228" t="s">
        <v>52</v>
      </c>
      <c r="C228" t="s">
        <v>293</v>
      </c>
      <c r="D228" t="s">
        <v>505</v>
      </c>
      <c r="E228" t="s">
        <v>506</v>
      </c>
      <c r="F228" t="s">
        <v>376</v>
      </c>
      <c r="G228" t="s">
        <v>527</v>
      </c>
      <c r="H228">
        <v>243060</v>
      </c>
      <c r="I228">
        <v>0</v>
      </c>
      <c r="J228" t="s">
        <v>50</v>
      </c>
      <c r="K228" t="s">
        <v>19</v>
      </c>
    </row>
    <row r="229" spans="1:11" x14ac:dyDescent="0.25">
      <c r="A229" t="s">
        <v>528</v>
      </c>
      <c r="B229" t="s">
        <v>55</v>
      </c>
      <c r="C229" t="s">
        <v>293</v>
      </c>
      <c r="D229" t="s">
        <v>505</v>
      </c>
      <c r="E229" t="s">
        <v>506</v>
      </c>
      <c r="F229" t="s">
        <v>376</v>
      </c>
      <c r="G229" t="s">
        <v>529</v>
      </c>
      <c r="H229">
        <v>202550</v>
      </c>
      <c r="I229">
        <v>0</v>
      </c>
      <c r="J229" t="s">
        <v>50</v>
      </c>
      <c r="K229" t="s">
        <v>19</v>
      </c>
    </row>
    <row r="230" spans="1:11" x14ac:dyDescent="0.25">
      <c r="A230" t="s">
        <v>530</v>
      </c>
      <c r="B230" t="s">
        <v>12</v>
      </c>
      <c r="C230" t="s">
        <v>531</v>
      </c>
      <c r="D230" t="s">
        <v>532</v>
      </c>
      <c r="E230" t="s">
        <v>533</v>
      </c>
      <c r="F230" t="s">
        <v>534</v>
      </c>
      <c r="G230" t="s">
        <v>535</v>
      </c>
      <c r="H230">
        <v>36430</v>
      </c>
      <c r="I230">
        <v>35497.35</v>
      </c>
      <c r="J230" t="s">
        <v>18</v>
      </c>
      <c r="K230" t="s">
        <v>40</v>
      </c>
    </row>
    <row r="231" spans="1:11" x14ac:dyDescent="0.25">
      <c r="A231" t="s">
        <v>536</v>
      </c>
      <c r="B231" t="s">
        <v>21</v>
      </c>
      <c r="C231" t="s">
        <v>531</v>
      </c>
      <c r="D231" t="s">
        <v>532</v>
      </c>
      <c r="E231" t="s">
        <v>533</v>
      </c>
      <c r="F231" t="s">
        <v>534</v>
      </c>
      <c r="G231" t="s">
        <v>537</v>
      </c>
      <c r="H231">
        <v>72860</v>
      </c>
      <c r="I231">
        <v>83936.99</v>
      </c>
      <c r="J231" t="s">
        <v>18</v>
      </c>
      <c r="K231" t="s">
        <v>19</v>
      </c>
    </row>
    <row r="232" spans="1:11" x14ac:dyDescent="0.25">
      <c r="A232" t="s">
        <v>538</v>
      </c>
      <c r="B232" t="s">
        <v>25</v>
      </c>
      <c r="C232" t="s">
        <v>531</v>
      </c>
      <c r="D232" t="s">
        <v>532</v>
      </c>
      <c r="E232" t="s">
        <v>533</v>
      </c>
      <c r="F232" t="s">
        <v>534</v>
      </c>
      <c r="G232" t="s">
        <v>539</v>
      </c>
      <c r="H232">
        <v>145720</v>
      </c>
      <c r="I232">
        <v>165786.54999999999</v>
      </c>
      <c r="J232" t="s">
        <v>18</v>
      </c>
      <c r="K232" t="s">
        <v>23</v>
      </c>
    </row>
    <row r="233" spans="1:11" x14ac:dyDescent="0.25">
      <c r="A233" t="s">
        <v>540</v>
      </c>
      <c r="B233" t="s">
        <v>29</v>
      </c>
      <c r="C233" t="s">
        <v>531</v>
      </c>
      <c r="D233" t="s">
        <v>532</v>
      </c>
      <c r="E233" t="s">
        <v>533</v>
      </c>
      <c r="F233" t="s">
        <v>534</v>
      </c>
      <c r="G233" t="s">
        <v>541</v>
      </c>
      <c r="H233">
        <v>218580</v>
      </c>
      <c r="I233">
        <v>253650.11</v>
      </c>
      <c r="J233" t="s">
        <v>18</v>
      </c>
      <c r="K233" t="s">
        <v>23</v>
      </c>
    </row>
    <row r="234" spans="1:11" x14ac:dyDescent="0.25">
      <c r="A234" t="s">
        <v>542</v>
      </c>
      <c r="B234" t="s">
        <v>32</v>
      </c>
      <c r="C234" t="s">
        <v>531</v>
      </c>
      <c r="D234" t="s">
        <v>532</v>
      </c>
      <c r="E234" t="s">
        <v>533</v>
      </c>
      <c r="F234" t="s">
        <v>534</v>
      </c>
      <c r="G234" t="s">
        <v>543</v>
      </c>
      <c r="H234">
        <v>327870</v>
      </c>
      <c r="I234">
        <v>380149.7</v>
      </c>
      <c r="J234" t="s">
        <v>18</v>
      </c>
      <c r="K234" t="s">
        <v>40</v>
      </c>
    </row>
    <row r="235" spans="1:11" x14ac:dyDescent="0.25">
      <c r="A235" t="s">
        <v>544</v>
      </c>
      <c r="B235" t="s">
        <v>35</v>
      </c>
      <c r="C235" t="s">
        <v>531</v>
      </c>
      <c r="D235" t="s">
        <v>532</v>
      </c>
      <c r="E235" t="s">
        <v>533</v>
      </c>
      <c r="F235" t="s">
        <v>534</v>
      </c>
      <c r="G235" t="s">
        <v>545</v>
      </c>
      <c r="H235">
        <v>437160</v>
      </c>
      <c r="I235">
        <v>502553.57</v>
      </c>
      <c r="J235" t="s">
        <v>18</v>
      </c>
      <c r="K235" t="s">
        <v>19</v>
      </c>
    </row>
    <row r="236" spans="1:11" x14ac:dyDescent="0.25">
      <c r="A236" t="s">
        <v>546</v>
      </c>
      <c r="B236" t="s">
        <v>38</v>
      </c>
      <c r="C236" t="s">
        <v>531</v>
      </c>
      <c r="D236" t="s">
        <v>532</v>
      </c>
      <c r="E236" t="s">
        <v>533</v>
      </c>
      <c r="F236" t="s">
        <v>534</v>
      </c>
      <c r="G236" t="s">
        <v>547</v>
      </c>
      <c r="H236">
        <v>510020</v>
      </c>
      <c r="I236">
        <v>575745.79</v>
      </c>
      <c r="J236" t="s">
        <v>18</v>
      </c>
      <c r="K236" t="s">
        <v>19</v>
      </c>
    </row>
    <row r="237" spans="1:11" x14ac:dyDescent="0.25">
      <c r="A237" t="s">
        <v>548</v>
      </c>
      <c r="B237" t="s">
        <v>42</v>
      </c>
      <c r="C237" t="s">
        <v>531</v>
      </c>
      <c r="D237" t="s">
        <v>532</v>
      </c>
      <c r="E237" t="s">
        <v>533</v>
      </c>
      <c r="F237" t="s">
        <v>534</v>
      </c>
      <c r="G237" t="s">
        <v>549</v>
      </c>
      <c r="H237">
        <v>510020</v>
      </c>
      <c r="I237">
        <v>0</v>
      </c>
      <c r="J237" t="s">
        <v>50</v>
      </c>
      <c r="K237" t="s">
        <v>23</v>
      </c>
    </row>
    <row r="238" spans="1:11" x14ac:dyDescent="0.25">
      <c r="A238" t="s">
        <v>550</v>
      </c>
      <c r="B238" t="s">
        <v>45</v>
      </c>
      <c r="C238" t="s">
        <v>531</v>
      </c>
      <c r="D238" t="s">
        <v>532</v>
      </c>
      <c r="E238" t="s">
        <v>533</v>
      </c>
      <c r="F238" t="s">
        <v>534</v>
      </c>
      <c r="G238" t="s">
        <v>551</v>
      </c>
      <c r="H238">
        <v>473590</v>
      </c>
      <c r="I238">
        <v>0</v>
      </c>
      <c r="J238" t="s">
        <v>50</v>
      </c>
      <c r="K238" t="s">
        <v>23</v>
      </c>
    </row>
    <row r="239" spans="1:11" x14ac:dyDescent="0.25">
      <c r="A239" t="s">
        <v>552</v>
      </c>
      <c r="B239" t="s">
        <v>48</v>
      </c>
      <c r="C239" t="s">
        <v>531</v>
      </c>
      <c r="D239" t="s">
        <v>532</v>
      </c>
      <c r="E239" t="s">
        <v>533</v>
      </c>
      <c r="F239" t="s">
        <v>534</v>
      </c>
      <c r="G239" t="s">
        <v>553</v>
      </c>
      <c r="H239">
        <v>364300</v>
      </c>
      <c r="I239">
        <v>0</v>
      </c>
      <c r="J239" t="s">
        <v>50</v>
      </c>
      <c r="K239" t="s">
        <v>27</v>
      </c>
    </row>
    <row r="240" spans="1:11" x14ac:dyDescent="0.25">
      <c r="A240" t="s">
        <v>554</v>
      </c>
      <c r="B240" t="s">
        <v>52</v>
      </c>
      <c r="C240" t="s">
        <v>531</v>
      </c>
      <c r="D240" t="s">
        <v>532</v>
      </c>
      <c r="E240" t="s">
        <v>533</v>
      </c>
      <c r="F240" t="s">
        <v>534</v>
      </c>
      <c r="G240" t="s">
        <v>555</v>
      </c>
      <c r="H240">
        <v>291440</v>
      </c>
      <c r="I240">
        <v>0</v>
      </c>
      <c r="J240" t="s">
        <v>50</v>
      </c>
      <c r="K240" t="s">
        <v>40</v>
      </c>
    </row>
    <row r="241" spans="1:11" x14ac:dyDescent="0.25">
      <c r="A241" t="s">
        <v>556</v>
      </c>
      <c r="B241" t="s">
        <v>55</v>
      </c>
      <c r="C241" t="s">
        <v>531</v>
      </c>
      <c r="D241" t="s">
        <v>532</v>
      </c>
      <c r="E241" t="s">
        <v>533</v>
      </c>
      <c r="F241" t="s">
        <v>534</v>
      </c>
      <c r="G241" t="s">
        <v>557</v>
      </c>
      <c r="H241">
        <v>255010</v>
      </c>
      <c r="I241">
        <v>0</v>
      </c>
      <c r="J241" t="s">
        <v>50</v>
      </c>
      <c r="K241" t="s">
        <v>19</v>
      </c>
    </row>
    <row r="242" spans="1:11" x14ac:dyDescent="0.25">
      <c r="A242" t="s">
        <v>558</v>
      </c>
      <c r="B242" t="s">
        <v>12</v>
      </c>
      <c r="C242" t="s">
        <v>531</v>
      </c>
      <c r="D242" t="s">
        <v>559</v>
      </c>
      <c r="E242" t="s">
        <v>560</v>
      </c>
      <c r="F242" t="s">
        <v>534</v>
      </c>
      <c r="G242" t="s">
        <v>561</v>
      </c>
      <c r="H242">
        <v>37280</v>
      </c>
      <c r="I242">
        <v>37566.699999999997</v>
      </c>
      <c r="J242" t="s">
        <v>18</v>
      </c>
      <c r="K242" t="s">
        <v>19</v>
      </c>
    </row>
    <row r="243" spans="1:11" x14ac:dyDescent="0.25">
      <c r="A243" t="s">
        <v>562</v>
      </c>
      <c r="B243" t="s">
        <v>21</v>
      </c>
      <c r="C243" t="s">
        <v>531</v>
      </c>
      <c r="D243" t="s">
        <v>559</v>
      </c>
      <c r="E243" t="s">
        <v>560</v>
      </c>
      <c r="F243" t="s">
        <v>534</v>
      </c>
      <c r="G243" t="s">
        <v>563</v>
      </c>
      <c r="H243">
        <v>74560</v>
      </c>
      <c r="I243">
        <v>81954.63</v>
      </c>
      <c r="J243" t="s">
        <v>18</v>
      </c>
      <c r="K243" t="s">
        <v>19</v>
      </c>
    </row>
    <row r="244" spans="1:11" x14ac:dyDescent="0.25">
      <c r="A244" t="s">
        <v>564</v>
      </c>
      <c r="B244" t="s">
        <v>25</v>
      </c>
      <c r="C244" t="s">
        <v>531</v>
      </c>
      <c r="D244" t="s">
        <v>559</v>
      </c>
      <c r="E244" t="s">
        <v>560</v>
      </c>
      <c r="F244" t="s">
        <v>534</v>
      </c>
      <c r="G244" t="s">
        <v>565</v>
      </c>
      <c r="H244">
        <v>149120</v>
      </c>
      <c r="I244">
        <v>166261.78</v>
      </c>
      <c r="J244" t="s">
        <v>18</v>
      </c>
      <c r="K244" t="s">
        <v>27</v>
      </c>
    </row>
    <row r="245" spans="1:11" x14ac:dyDescent="0.25">
      <c r="A245" t="s">
        <v>566</v>
      </c>
      <c r="B245" t="s">
        <v>29</v>
      </c>
      <c r="C245" t="s">
        <v>531</v>
      </c>
      <c r="D245" t="s">
        <v>559</v>
      </c>
      <c r="E245" t="s">
        <v>560</v>
      </c>
      <c r="F245" t="s">
        <v>534</v>
      </c>
      <c r="G245" t="s">
        <v>567</v>
      </c>
      <c r="H245">
        <v>223680</v>
      </c>
      <c r="I245">
        <v>255332.32</v>
      </c>
      <c r="J245" t="s">
        <v>18</v>
      </c>
      <c r="K245" t="s">
        <v>27</v>
      </c>
    </row>
    <row r="246" spans="1:11" x14ac:dyDescent="0.25">
      <c r="A246" t="s">
        <v>568</v>
      </c>
      <c r="B246" t="s">
        <v>32</v>
      </c>
      <c r="C246" t="s">
        <v>531</v>
      </c>
      <c r="D246" t="s">
        <v>559</v>
      </c>
      <c r="E246" t="s">
        <v>560</v>
      </c>
      <c r="F246" t="s">
        <v>534</v>
      </c>
      <c r="G246" t="s">
        <v>569</v>
      </c>
      <c r="H246">
        <v>335520</v>
      </c>
      <c r="I246">
        <v>375566.01</v>
      </c>
      <c r="J246" t="s">
        <v>18</v>
      </c>
      <c r="K246" t="s">
        <v>23</v>
      </c>
    </row>
    <row r="247" spans="1:11" x14ac:dyDescent="0.25">
      <c r="A247" t="s">
        <v>570</v>
      </c>
      <c r="B247" t="s">
        <v>35</v>
      </c>
      <c r="C247" t="s">
        <v>531</v>
      </c>
      <c r="D247" t="s">
        <v>559</v>
      </c>
      <c r="E247" t="s">
        <v>560</v>
      </c>
      <c r="F247" t="s">
        <v>534</v>
      </c>
      <c r="G247" t="s">
        <v>571</v>
      </c>
      <c r="H247">
        <v>447360</v>
      </c>
      <c r="I247">
        <v>475789.11</v>
      </c>
      <c r="J247" t="s">
        <v>18</v>
      </c>
      <c r="K247" t="s">
        <v>23</v>
      </c>
    </row>
    <row r="248" spans="1:11" x14ac:dyDescent="0.25">
      <c r="A248" t="s">
        <v>572</v>
      </c>
      <c r="B248" t="s">
        <v>38</v>
      </c>
      <c r="C248" t="s">
        <v>531</v>
      </c>
      <c r="D248" t="s">
        <v>559</v>
      </c>
      <c r="E248" t="s">
        <v>560</v>
      </c>
      <c r="F248" t="s">
        <v>534</v>
      </c>
      <c r="G248" t="s">
        <v>573</v>
      </c>
      <c r="H248">
        <v>521920</v>
      </c>
      <c r="I248">
        <v>597592.67000000004</v>
      </c>
      <c r="J248" t="s">
        <v>18</v>
      </c>
      <c r="K248" t="s">
        <v>40</v>
      </c>
    </row>
    <row r="249" spans="1:11" x14ac:dyDescent="0.25">
      <c r="A249" t="s">
        <v>574</v>
      </c>
      <c r="B249" t="s">
        <v>42</v>
      </c>
      <c r="C249" t="s">
        <v>531</v>
      </c>
      <c r="D249" t="s">
        <v>559</v>
      </c>
      <c r="E249" t="s">
        <v>560</v>
      </c>
      <c r="F249" t="s">
        <v>534</v>
      </c>
      <c r="G249" t="s">
        <v>575</v>
      </c>
      <c r="H249">
        <v>521920</v>
      </c>
      <c r="I249">
        <v>0</v>
      </c>
      <c r="J249" t="s">
        <v>50</v>
      </c>
      <c r="K249" t="s">
        <v>40</v>
      </c>
    </row>
    <row r="250" spans="1:11" x14ac:dyDescent="0.25">
      <c r="A250" t="s">
        <v>576</v>
      </c>
      <c r="B250" t="s">
        <v>45</v>
      </c>
      <c r="C250" t="s">
        <v>531</v>
      </c>
      <c r="D250" t="s">
        <v>559</v>
      </c>
      <c r="E250" t="s">
        <v>560</v>
      </c>
      <c r="F250" t="s">
        <v>534</v>
      </c>
      <c r="G250" t="s">
        <v>577</v>
      </c>
      <c r="H250">
        <v>484640</v>
      </c>
      <c r="I250">
        <v>0</v>
      </c>
      <c r="J250" t="s">
        <v>50</v>
      </c>
      <c r="K250" t="s">
        <v>19</v>
      </c>
    </row>
    <row r="251" spans="1:11" x14ac:dyDescent="0.25">
      <c r="A251" t="s">
        <v>578</v>
      </c>
      <c r="B251" t="s">
        <v>48</v>
      </c>
      <c r="C251" t="s">
        <v>531</v>
      </c>
      <c r="D251" t="s">
        <v>559</v>
      </c>
      <c r="E251" t="s">
        <v>560</v>
      </c>
      <c r="F251" t="s">
        <v>534</v>
      </c>
      <c r="G251" t="s">
        <v>579</v>
      </c>
      <c r="H251">
        <v>372800</v>
      </c>
      <c r="I251">
        <v>0</v>
      </c>
      <c r="J251" t="s">
        <v>50</v>
      </c>
      <c r="K251" t="s">
        <v>27</v>
      </c>
    </row>
    <row r="252" spans="1:11" x14ac:dyDescent="0.25">
      <c r="A252" t="s">
        <v>580</v>
      </c>
      <c r="B252" t="s">
        <v>52</v>
      </c>
      <c r="C252" t="s">
        <v>531</v>
      </c>
      <c r="D252" t="s">
        <v>559</v>
      </c>
      <c r="E252" t="s">
        <v>560</v>
      </c>
      <c r="F252" t="s">
        <v>534</v>
      </c>
      <c r="G252" t="s">
        <v>581</v>
      </c>
      <c r="H252">
        <v>298240</v>
      </c>
      <c r="I252">
        <v>0</v>
      </c>
      <c r="J252" t="s">
        <v>50</v>
      </c>
      <c r="K252" t="s">
        <v>23</v>
      </c>
    </row>
    <row r="253" spans="1:11" x14ac:dyDescent="0.25">
      <c r="A253" t="s">
        <v>582</v>
      </c>
      <c r="B253" t="s">
        <v>55</v>
      </c>
      <c r="C253" t="s">
        <v>531</v>
      </c>
      <c r="D253" t="s">
        <v>559</v>
      </c>
      <c r="E253" t="s">
        <v>560</v>
      </c>
      <c r="F253" t="s">
        <v>534</v>
      </c>
      <c r="G253" t="s">
        <v>583</v>
      </c>
      <c r="H253">
        <v>260960</v>
      </c>
      <c r="I253">
        <v>0</v>
      </c>
      <c r="J253" t="s">
        <v>50</v>
      </c>
      <c r="K253" t="s">
        <v>27</v>
      </c>
    </row>
    <row r="254" spans="1:11" x14ac:dyDescent="0.25">
      <c r="A254" t="s">
        <v>584</v>
      </c>
      <c r="B254" t="s">
        <v>12</v>
      </c>
      <c r="C254" t="s">
        <v>531</v>
      </c>
      <c r="D254" t="s">
        <v>585</v>
      </c>
      <c r="E254" t="s">
        <v>586</v>
      </c>
      <c r="F254" t="s">
        <v>587</v>
      </c>
      <c r="G254" t="s">
        <v>588</v>
      </c>
      <c r="H254">
        <v>16250</v>
      </c>
      <c r="I254">
        <v>15725.3</v>
      </c>
      <c r="J254" t="s">
        <v>18</v>
      </c>
      <c r="K254" t="s">
        <v>27</v>
      </c>
    </row>
    <row r="255" spans="1:11" x14ac:dyDescent="0.25">
      <c r="A255" t="s">
        <v>589</v>
      </c>
      <c r="B255" t="s">
        <v>21</v>
      </c>
      <c r="C255" t="s">
        <v>531</v>
      </c>
      <c r="D255" t="s">
        <v>585</v>
      </c>
      <c r="E255" t="s">
        <v>586</v>
      </c>
      <c r="F255" t="s">
        <v>587</v>
      </c>
      <c r="G255" t="s">
        <v>590</v>
      </c>
      <c r="H255">
        <v>32500</v>
      </c>
      <c r="I255">
        <v>37324.639999999999</v>
      </c>
      <c r="J255" t="s">
        <v>18</v>
      </c>
      <c r="K255" t="s">
        <v>40</v>
      </c>
    </row>
    <row r="256" spans="1:11" x14ac:dyDescent="0.25">
      <c r="A256" t="s">
        <v>591</v>
      </c>
      <c r="B256" t="s">
        <v>25</v>
      </c>
      <c r="C256" t="s">
        <v>531</v>
      </c>
      <c r="D256" t="s">
        <v>585</v>
      </c>
      <c r="E256" t="s">
        <v>586</v>
      </c>
      <c r="F256" t="s">
        <v>587</v>
      </c>
      <c r="G256" t="s">
        <v>592</v>
      </c>
      <c r="H256">
        <v>65000</v>
      </c>
      <c r="I256">
        <v>78143.12</v>
      </c>
      <c r="J256" t="s">
        <v>18</v>
      </c>
      <c r="K256" t="s">
        <v>40</v>
      </c>
    </row>
    <row r="257" spans="1:11" x14ac:dyDescent="0.25">
      <c r="A257" t="s">
        <v>593</v>
      </c>
      <c r="B257" t="s">
        <v>29</v>
      </c>
      <c r="C257" t="s">
        <v>531</v>
      </c>
      <c r="D257" t="s">
        <v>585</v>
      </c>
      <c r="E257" t="s">
        <v>586</v>
      </c>
      <c r="F257" t="s">
        <v>587</v>
      </c>
      <c r="G257" t="s">
        <v>594</v>
      </c>
      <c r="H257">
        <v>97500</v>
      </c>
      <c r="I257">
        <v>113391.84</v>
      </c>
      <c r="J257" t="s">
        <v>18</v>
      </c>
      <c r="K257" t="s">
        <v>23</v>
      </c>
    </row>
    <row r="258" spans="1:11" x14ac:dyDescent="0.25">
      <c r="A258" t="s">
        <v>595</v>
      </c>
      <c r="B258" t="s">
        <v>32</v>
      </c>
      <c r="C258" t="s">
        <v>531</v>
      </c>
      <c r="D258" t="s">
        <v>585</v>
      </c>
      <c r="E258" t="s">
        <v>586</v>
      </c>
      <c r="F258" t="s">
        <v>587</v>
      </c>
      <c r="G258" t="s">
        <v>596</v>
      </c>
      <c r="H258">
        <v>146250</v>
      </c>
      <c r="I258">
        <v>165201.78</v>
      </c>
      <c r="J258" t="s">
        <v>18</v>
      </c>
      <c r="K258" t="s">
        <v>40</v>
      </c>
    </row>
    <row r="259" spans="1:11" x14ac:dyDescent="0.25">
      <c r="A259" t="s">
        <v>597</v>
      </c>
      <c r="B259" t="s">
        <v>35</v>
      </c>
      <c r="C259" t="s">
        <v>531</v>
      </c>
      <c r="D259" t="s">
        <v>585</v>
      </c>
      <c r="E259" t="s">
        <v>586</v>
      </c>
      <c r="F259" t="s">
        <v>587</v>
      </c>
      <c r="G259" t="s">
        <v>598</v>
      </c>
      <c r="H259">
        <v>195000</v>
      </c>
      <c r="I259">
        <v>207199.07</v>
      </c>
      <c r="J259" t="s">
        <v>18</v>
      </c>
      <c r="K259" t="s">
        <v>19</v>
      </c>
    </row>
    <row r="260" spans="1:11" x14ac:dyDescent="0.25">
      <c r="A260" t="s">
        <v>599</v>
      </c>
      <c r="B260" t="s">
        <v>38</v>
      </c>
      <c r="C260" t="s">
        <v>531</v>
      </c>
      <c r="D260" t="s">
        <v>585</v>
      </c>
      <c r="E260" t="s">
        <v>586</v>
      </c>
      <c r="F260" t="s">
        <v>587</v>
      </c>
      <c r="G260" t="s">
        <v>600</v>
      </c>
      <c r="H260">
        <v>227500</v>
      </c>
      <c r="I260">
        <v>267747.08</v>
      </c>
      <c r="J260" t="s">
        <v>18</v>
      </c>
      <c r="K260" t="s">
        <v>27</v>
      </c>
    </row>
    <row r="261" spans="1:11" x14ac:dyDescent="0.25">
      <c r="A261" t="s">
        <v>601</v>
      </c>
      <c r="B261" t="s">
        <v>42</v>
      </c>
      <c r="C261" t="s">
        <v>531</v>
      </c>
      <c r="D261" t="s">
        <v>585</v>
      </c>
      <c r="E261" t="s">
        <v>586</v>
      </c>
      <c r="F261" t="s">
        <v>587</v>
      </c>
      <c r="G261" t="s">
        <v>602</v>
      </c>
      <c r="H261">
        <v>227500</v>
      </c>
      <c r="I261">
        <v>0</v>
      </c>
      <c r="J261" t="s">
        <v>50</v>
      </c>
      <c r="K261" t="s">
        <v>23</v>
      </c>
    </row>
    <row r="262" spans="1:11" x14ac:dyDescent="0.25">
      <c r="A262" t="s">
        <v>603</v>
      </c>
      <c r="B262" t="s">
        <v>45</v>
      </c>
      <c r="C262" t="s">
        <v>531</v>
      </c>
      <c r="D262" t="s">
        <v>585</v>
      </c>
      <c r="E262" t="s">
        <v>586</v>
      </c>
      <c r="F262" t="s">
        <v>587</v>
      </c>
      <c r="G262" t="s">
        <v>604</v>
      </c>
      <c r="H262">
        <v>211250</v>
      </c>
      <c r="I262">
        <v>0</v>
      </c>
      <c r="J262" t="s">
        <v>50</v>
      </c>
      <c r="K262" t="s">
        <v>27</v>
      </c>
    </row>
    <row r="263" spans="1:11" x14ac:dyDescent="0.25">
      <c r="A263" t="s">
        <v>605</v>
      </c>
      <c r="B263" t="s">
        <v>48</v>
      </c>
      <c r="C263" t="s">
        <v>531</v>
      </c>
      <c r="D263" t="s">
        <v>585</v>
      </c>
      <c r="E263" t="s">
        <v>586</v>
      </c>
      <c r="F263" t="s">
        <v>587</v>
      </c>
      <c r="G263" t="s">
        <v>606</v>
      </c>
      <c r="H263">
        <v>162500</v>
      </c>
      <c r="I263">
        <v>0</v>
      </c>
      <c r="J263" t="s">
        <v>50</v>
      </c>
      <c r="K263" t="s">
        <v>19</v>
      </c>
    </row>
    <row r="264" spans="1:11" x14ac:dyDescent="0.25">
      <c r="A264" t="s">
        <v>607</v>
      </c>
      <c r="B264" t="s">
        <v>52</v>
      </c>
      <c r="C264" t="s">
        <v>531</v>
      </c>
      <c r="D264" t="s">
        <v>585</v>
      </c>
      <c r="E264" t="s">
        <v>586</v>
      </c>
      <c r="F264" t="s">
        <v>587</v>
      </c>
      <c r="G264" t="s">
        <v>608</v>
      </c>
      <c r="H264">
        <v>130000</v>
      </c>
      <c r="I264">
        <v>0</v>
      </c>
      <c r="J264" t="s">
        <v>50</v>
      </c>
      <c r="K264" t="s">
        <v>27</v>
      </c>
    </row>
    <row r="265" spans="1:11" x14ac:dyDescent="0.25">
      <c r="A265" t="s">
        <v>609</v>
      </c>
      <c r="B265" t="s">
        <v>55</v>
      </c>
      <c r="C265" t="s">
        <v>531</v>
      </c>
      <c r="D265" t="s">
        <v>585</v>
      </c>
      <c r="E265" t="s">
        <v>586</v>
      </c>
      <c r="F265" t="s">
        <v>587</v>
      </c>
      <c r="G265" t="s">
        <v>610</v>
      </c>
      <c r="H265">
        <v>113750</v>
      </c>
      <c r="I265">
        <v>0</v>
      </c>
      <c r="J265" t="s">
        <v>50</v>
      </c>
      <c r="K265" t="s">
        <v>40</v>
      </c>
    </row>
    <row r="266" spans="1:11" x14ac:dyDescent="0.25">
      <c r="A266" t="s">
        <v>611</v>
      </c>
      <c r="B266" t="s">
        <v>12</v>
      </c>
      <c r="C266" t="s">
        <v>531</v>
      </c>
      <c r="D266" t="s">
        <v>612</v>
      </c>
      <c r="E266" t="s">
        <v>613</v>
      </c>
      <c r="F266" t="s">
        <v>534</v>
      </c>
      <c r="G266" t="s">
        <v>614</v>
      </c>
      <c r="H266">
        <v>97440</v>
      </c>
      <c r="I266">
        <v>96740.23</v>
      </c>
      <c r="J266" t="s">
        <v>18</v>
      </c>
      <c r="K266" t="s">
        <v>40</v>
      </c>
    </row>
    <row r="267" spans="1:11" x14ac:dyDescent="0.25">
      <c r="A267" t="s">
        <v>615</v>
      </c>
      <c r="B267" t="s">
        <v>21</v>
      </c>
      <c r="C267" t="s">
        <v>531</v>
      </c>
      <c r="D267" t="s">
        <v>612</v>
      </c>
      <c r="E267" t="s">
        <v>613</v>
      </c>
      <c r="F267" t="s">
        <v>534</v>
      </c>
      <c r="G267" t="s">
        <v>616</v>
      </c>
      <c r="H267">
        <v>194880</v>
      </c>
      <c r="I267">
        <v>224371.59</v>
      </c>
      <c r="J267" t="s">
        <v>18</v>
      </c>
      <c r="K267" t="s">
        <v>27</v>
      </c>
    </row>
    <row r="268" spans="1:11" x14ac:dyDescent="0.25">
      <c r="A268" t="s">
        <v>617</v>
      </c>
      <c r="B268" t="s">
        <v>25</v>
      </c>
      <c r="C268" t="s">
        <v>531</v>
      </c>
      <c r="D268" t="s">
        <v>612</v>
      </c>
      <c r="E268" t="s">
        <v>613</v>
      </c>
      <c r="F268" t="s">
        <v>534</v>
      </c>
      <c r="G268" t="s">
        <v>618</v>
      </c>
      <c r="H268">
        <v>389760</v>
      </c>
      <c r="I268">
        <v>469004.56</v>
      </c>
      <c r="J268" t="s">
        <v>18</v>
      </c>
      <c r="K268" t="s">
        <v>19</v>
      </c>
    </row>
    <row r="269" spans="1:11" x14ac:dyDescent="0.25">
      <c r="A269" t="s">
        <v>619</v>
      </c>
      <c r="B269" t="s">
        <v>29</v>
      </c>
      <c r="C269" t="s">
        <v>531</v>
      </c>
      <c r="D269" t="s">
        <v>612</v>
      </c>
      <c r="E269" t="s">
        <v>613</v>
      </c>
      <c r="F269" t="s">
        <v>534</v>
      </c>
      <c r="G269" t="s">
        <v>620</v>
      </c>
      <c r="H269">
        <v>584640</v>
      </c>
      <c r="I269">
        <v>675894.15</v>
      </c>
      <c r="J269" t="s">
        <v>18</v>
      </c>
      <c r="K269" t="s">
        <v>23</v>
      </c>
    </row>
    <row r="270" spans="1:11" x14ac:dyDescent="0.25">
      <c r="A270" t="s">
        <v>621</v>
      </c>
      <c r="B270" t="s">
        <v>32</v>
      </c>
      <c r="C270" t="s">
        <v>531</v>
      </c>
      <c r="D270" t="s">
        <v>612</v>
      </c>
      <c r="E270" t="s">
        <v>613</v>
      </c>
      <c r="F270" t="s">
        <v>534</v>
      </c>
      <c r="G270" t="s">
        <v>622</v>
      </c>
      <c r="H270">
        <v>876960</v>
      </c>
      <c r="I270">
        <v>983002.23</v>
      </c>
      <c r="J270" t="s">
        <v>18</v>
      </c>
      <c r="K270" t="s">
        <v>19</v>
      </c>
    </row>
    <row r="271" spans="1:11" x14ac:dyDescent="0.25">
      <c r="A271" t="s">
        <v>623</v>
      </c>
      <c r="B271" t="s">
        <v>35</v>
      </c>
      <c r="C271" t="s">
        <v>531</v>
      </c>
      <c r="D271" t="s">
        <v>612</v>
      </c>
      <c r="E271" t="s">
        <v>613</v>
      </c>
      <c r="F271" t="s">
        <v>534</v>
      </c>
      <c r="G271" t="s">
        <v>624</v>
      </c>
      <c r="H271">
        <v>1169280</v>
      </c>
      <c r="I271">
        <v>1290693.26</v>
      </c>
      <c r="J271" t="s">
        <v>18</v>
      </c>
      <c r="K271" t="s">
        <v>40</v>
      </c>
    </row>
    <row r="272" spans="1:11" x14ac:dyDescent="0.25">
      <c r="A272" t="s">
        <v>625</v>
      </c>
      <c r="B272" t="s">
        <v>38</v>
      </c>
      <c r="C272" t="s">
        <v>531</v>
      </c>
      <c r="D272" t="s">
        <v>612</v>
      </c>
      <c r="E272" t="s">
        <v>613</v>
      </c>
      <c r="F272" t="s">
        <v>534</v>
      </c>
      <c r="G272" t="s">
        <v>626</v>
      </c>
      <c r="H272">
        <v>1364160</v>
      </c>
      <c r="I272">
        <v>1593611.32</v>
      </c>
      <c r="J272" t="s">
        <v>18</v>
      </c>
      <c r="K272" t="s">
        <v>40</v>
      </c>
    </row>
    <row r="273" spans="1:11" x14ac:dyDescent="0.25">
      <c r="A273" t="s">
        <v>627</v>
      </c>
      <c r="B273" t="s">
        <v>42</v>
      </c>
      <c r="C273" t="s">
        <v>531</v>
      </c>
      <c r="D273" t="s">
        <v>612</v>
      </c>
      <c r="E273" t="s">
        <v>613</v>
      </c>
      <c r="F273" t="s">
        <v>534</v>
      </c>
      <c r="G273" t="s">
        <v>628</v>
      </c>
      <c r="H273">
        <v>1364160</v>
      </c>
      <c r="I273">
        <v>0</v>
      </c>
      <c r="J273" t="s">
        <v>50</v>
      </c>
      <c r="K273" t="s">
        <v>40</v>
      </c>
    </row>
    <row r="274" spans="1:11" x14ac:dyDescent="0.25">
      <c r="A274" t="s">
        <v>629</v>
      </c>
      <c r="B274" t="s">
        <v>45</v>
      </c>
      <c r="C274" t="s">
        <v>531</v>
      </c>
      <c r="D274" t="s">
        <v>612</v>
      </c>
      <c r="E274" t="s">
        <v>613</v>
      </c>
      <c r="F274" t="s">
        <v>534</v>
      </c>
      <c r="G274" t="s">
        <v>630</v>
      </c>
      <c r="H274">
        <v>1266720</v>
      </c>
      <c r="I274">
        <v>0</v>
      </c>
      <c r="J274" t="s">
        <v>50</v>
      </c>
      <c r="K274" t="s">
        <v>40</v>
      </c>
    </row>
    <row r="275" spans="1:11" x14ac:dyDescent="0.25">
      <c r="A275" t="s">
        <v>631</v>
      </c>
      <c r="B275" t="s">
        <v>48</v>
      </c>
      <c r="C275" t="s">
        <v>531</v>
      </c>
      <c r="D275" t="s">
        <v>612</v>
      </c>
      <c r="E275" t="s">
        <v>613</v>
      </c>
      <c r="F275" t="s">
        <v>534</v>
      </c>
      <c r="G275" t="s">
        <v>632</v>
      </c>
      <c r="H275">
        <v>974400</v>
      </c>
      <c r="I275">
        <v>0</v>
      </c>
      <c r="J275" t="s">
        <v>50</v>
      </c>
      <c r="K275" t="s">
        <v>19</v>
      </c>
    </row>
    <row r="276" spans="1:11" x14ac:dyDescent="0.25">
      <c r="A276" t="s">
        <v>633</v>
      </c>
      <c r="B276" t="s">
        <v>52</v>
      </c>
      <c r="C276" t="s">
        <v>531</v>
      </c>
      <c r="D276" t="s">
        <v>612</v>
      </c>
      <c r="E276" t="s">
        <v>613</v>
      </c>
      <c r="F276" t="s">
        <v>534</v>
      </c>
      <c r="G276" t="s">
        <v>634</v>
      </c>
      <c r="H276">
        <v>779520</v>
      </c>
      <c r="I276">
        <v>0</v>
      </c>
      <c r="J276" t="s">
        <v>50</v>
      </c>
      <c r="K276" t="s">
        <v>27</v>
      </c>
    </row>
    <row r="277" spans="1:11" x14ac:dyDescent="0.25">
      <c r="A277" t="s">
        <v>635</v>
      </c>
      <c r="B277" t="s">
        <v>55</v>
      </c>
      <c r="C277" t="s">
        <v>531</v>
      </c>
      <c r="D277" t="s">
        <v>612</v>
      </c>
      <c r="E277" t="s">
        <v>613</v>
      </c>
      <c r="F277" t="s">
        <v>534</v>
      </c>
      <c r="G277" t="s">
        <v>636</v>
      </c>
      <c r="H277">
        <v>682080</v>
      </c>
      <c r="I277">
        <v>0</v>
      </c>
      <c r="J277" t="s">
        <v>50</v>
      </c>
      <c r="K277" t="s">
        <v>40</v>
      </c>
    </row>
    <row r="278" spans="1:11" x14ac:dyDescent="0.25">
      <c r="A278" t="s">
        <v>637</v>
      </c>
      <c r="B278" t="s">
        <v>12</v>
      </c>
      <c r="C278" t="s">
        <v>531</v>
      </c>
      <c r="D278" t="s">
        <v>638</v>
      </c>
      <c r="E278" t="s">
        <v>639</v>
      </c>
      <c r="F278" t="s">
        <v>640</v>
      </c>
      <c r="G278" t="s">
        <v>641</v>
      </c>
      <c r="H278">
        <v>42350</v>
      </c>
      <c r="I278">
        <v>41574.660000000003</v>
      </c>
      <c r="J278" t="s">
        <v>18</v>
      </c>
      <c r="K278" t="s">
        <v>40</v>
      </c>
    </row>
    <row r="279" spans="1:11" x14ac:dyDescent="0.25">
      <c r="A279" t="s">
        <v>642</v>
      </c>
      <c r="B279" t="s">
        <v>21</v>
      </c>
      <c r="C279" t="s">
        <v>531</v>
      </c>
      <c r="D279" t="s">
        <v>638</v>
      </c>
      <c r="E279" t="s">
        <v>639</v>
      </c>
      <c r="F279" t="s">
        <v>640</v>
      </c>
      <c r="G279" t="s">
        <v>643</v>
      </c>
      <c r="H279">
        <v>84700</v>
      </c>
      <c r="I279">
        <v>90090.66</v>
      </c>
      <c r="J279" t="s">
        <v>18</v>
      </c>
      <c r="K279" t="s">
        <v>27</v>
      </c>
    </row>
    <row r="280" spans="1:11" x14ac:dyDescent="0.25">
      <c r="A280" t="s">
        <v>644</v>
      </c>
      <c r="B280" t="s">
        <v>25</v>
      </c>
      <c r="C280" t="s">
        <v>531</v>
      </c>
      <c r="D280" t="s">
        <v>638</v>
      </c>
      <c r="E280" t="s">
        <v>639</v>
      </c>
      <c r="F280" t="s">
        <v>640</v>
      </c>
      <c r="G280" t="s">
        <v>645</v>
      </c>
      <c r="H280">
        <v>169400</v>
      </c>
      <c r="I280">
        <v>195916.55</v>
      </c>
      <c r="J280" t="s">
        <v>18</v>
      </c>
      <c r="K280" t="s">
        <v>19</v>
      </c>
    </row>
    <row r="281" spans="1:11" x14ac:dyDescent="0.25">
      <c r="A281" t="s">
        <v>646</v>
      </c>
      <c r="B281" t="s">
        <v>29</v>
      </c>
      <c r="C281" t="s">
        <v>531</v>
      </c>
      <c r="D281" t="s">
        <v>638</v>
      </c>
      <c r="E281" t="s">
        <v>639</v>
      </c>
      <c r="F281" t="s">
        <v>640</v>
      </c>
      <c r="G281" t="s">
        <v>647</v>
      </c>
      <c r="H281">
        <v>254100</v>
      </c>
      <c r="I281">
        <v>296120.67</v>
      </c>
      <c r="J281" t="s">
        <v>18</v>
      </c>
      <c r="K281" t="s">
        <v>27</v>
      </c>
    </row>
    <row r="282" spans="1:11" x14ac:dyDescent="0.25">
      <c r="A282" t="s">
        <v>648</v>
      </c>
      <c r="B282" t="s">
        <v>32</v>
      </c>
      <c r="C282" t="s">
        <v>531</v>
      </c>
      <c r="D282" t="s">
        <v>638</v>
      </c>
      <c r="E282" t="s">
        <v>639</v>
      </c>
      <c r="F282" t="s">
        <v>640</v>
      </c>
      <c r="G282" t="s">
        <v>649</v>
      </c>
      <c r="H282">
        <v>381150</v>
      </c>
      <c r="I282">
        <v>444755.92</v>
      </c>
      <c r="J282" t="s">
        <v>18</v>
      </c>
      <c r="K282" t="s">
        <v>40</v>
      </c>
    </row>
    <row r="283" spans="1:11" x14ac:dyDescent="0.25">
      <c r="A283" t="s">
        <v>650</v>
      </c>
      <c r="B283" t="s">
        <v>35</v>
      </c>
      <c r="C283" t="s">
        <v>531</v>
      </c>
      <c r="D283" t="s">
        <v>638</v>
      </c>
      <c r="E283" t="s">
        <v>639</v>
      </c>
      <c r="F283" t="s">
        <v>640</v>
      </c>
      <c r="G283" t="s">
        <v>651</v>
      </c>
      <c r="H283">
        <v>508200</v>
      </c>
      <c r="I283">
        <v>571465.9</v>
      </c>
      <c r="J283" t="s">
        <v>18</v>
      </c>
      <c r="K283" t="s">
        <v>19</v>
      </c>
    </row>
    <row r="284" spans="1:11" x14ac:dyDescent="0.25">
      <c r="A284" t="s">
        <v>652</v>
      </c>
      <c r="B284" t="s">
        <v>38</v>
      </c>
      <c r="C284" t="s">
        <v>531</v>
      </c>
      <c r="D284" t="s">
        <v>638</v>
      </c>
      <c r="E284" t="s">
        <v>639</v>
      </c>
      <c r="F284" t="s">
        <v>640</v>
      </c>
      <c r="G284" t="s">
        <v>653</v>
      </c>
      <c r="H284">
        <v>592900</v>
      </c>
      <c r="I284">
        <v>642175.87</v>
      </c>
      <c r="J284" t="s">
        <v>18</v>
      </c>
      <c r="K284" t="s">
        <v>40</v>
      </c>
    </row>
    <row r="285" spans="1:11" x14ac:dyDescent="0.25">
      <c r="A285" t="s">
        <v>654</v>
      </c>
      <c r="B285" t="s">
        <v>42</v>
      </c>
      <c r="C285" t="s">
        <v>531</v>
      </c>
      <c r="D285" t="s">
        <v>638</v>
      </c>
      <c r="E285" t="s">
        <v>639</v>
      </c>
      <c r="F285" t="s">
        <v>640</v>
      </c>
      <c r="G285" t="s">
        <v>655</v>
      </c>
      <c r="H285">
        <v>592900</v>
      </c>
      <c r="I285">
        <v>0</v>
      </c>
      <c r="J285" t="s">
        <v>50</v>
      </c>
      <c r="K285" t="s">
        <v>19</v>
      </c>
    </row>
    <row r="286" spans="1:11" x14ac:dyDescent="0.25">
      <c r="A286" t="s">
        <v>656</v>
      </c>
      <c r="B286" t="s">
        <v>45</v>
      </c>
      <c r="C286" t="s">
        <v>531</v>
      </c>
      <c r="D286" t="s">
        <v>638</v>
      </c>
      <c r="E286" t="s">
        <v>639</v>
      </c>
      <c r="F286" t="s">
        <v>640</v>
      </c>
      <c r="G286" t="s">
        <v>657</v>
      </c>
      <c r="H286">
        <v>550550</v>
      </c>
      <c r="I286">
        <v>0</v>
      </c>
      <c r="J286" t="s">
        <v>50</v>
      </c>
      <c r="K286" t="s">
        <v>19</v>
      </c>
    </row>
    <row r="287" spans="1:11" x14ac:dyDescent="0.25">
      <c r="A287" t="s">
        <v>658</v>
      </c>
      <c r="B287" t="s">
        <v>48</v>
      </c>
      <c r="C287" t="s">
        <v>531</v>
      </c>
      <c r="D287" t="s">
        <v>638</v>
      </c>
      <c r="E287" t="s">
        <v>639</v>
      </c>
      <c r="F287" t="s">
        <v>640</v>
      </c>
      <c r="G287" t="s">
        <v>659</v>
      </c>
      <c r="H287">
        <v>423500</v>
      </c>
      <c r="I287">
        <v>0</v>
      </c>
      <c r="J287" t="s">
        <v>50</v>
      </c>
      <c r="K287" t="s">
        <v>27</v>
      </c>
    </row>
    <row r="288" spans="1:11" x14ac:dyDescent="0.25">
      <c r="A288" t="s">
        <v>660</v>
      </c>
      <c r="B288" t="s">
        <v>52</v>
      </c>
      <c r="C288" t="s">
        <v>531</v>
      </c>
      <c r="D288" t="s">
        <v>638</v>
      </c>
      <c r="E288" t="s">
        <v>639</v>
      </c>
      <c r="F288" t="s">
        <v>640</v>
      </c>
      <c r="G288" t="s">
        <v>661</v>
      </c>
      <c r="H288">
        <v>338800</v>
      </c>
      <c r="I288">
        <v>0</v>
      </c>
      <c r="J288" t="s">
        <v>50</v>
      </c>
      <c r="K288" t="s">
        <v>23</v>
      </c>
    </row>
    <row r="289" spans="1:11" x14ac:dyDescent="0.25">
      <c r="A289" t="s">
        <v>662</v>
      </c>
      <c r="B289" t="s">
        <v>55</v>
      </c>
      <c r="C289" t="s">
        <v>531</v>
      </c>
      <c r="D289" t="s">
        <v>638</v>
      </c>
      <c r="E289" t="s">
        <v>639</v>
      </c>
      <c r="F289" t="s">
        <v>640</v>
      </c>
      <c r="G289" t="s">
        <v>663</v>
      </c>
      <c r="H289">
        <v>296450</v>
      </c>
      <c r="I289">
        <v>0</v>
      </c>
      <c r="J289" t="s">
        <v>50</v>
      </c>
      <c r="K289" t="s">
        <v>27</v>
      </c>
    </row>
    <row r="290" spans="1:11" x14ac:dyDescent="0.25">
      <c r="A290" t="s">
        <v>664</v>
      </c>
      <c r="B290" t="s">
        <v>12</v>
      </c>
      <c r="C290" t="s">
        <v>531</v>
      </c>
      <c r="D290" t="s">
        <v>665</v>
      </c>
      <c r="E290" t="s">
        <v>666</v>
      </c>
      <c r="F290" t="s">
        <v>640</v>
      </c>
      <c r="G290" t="s">
        <v>667</v>
      </c>
      <c r="H290">
        <v>12550</v>
      </c>
      <c r="I290">
        <v>12694.33</v>
      </c>
      <c r="J290" t="s">
        <v>18</v>
      </c>
      <c r="K290" t="s">
        <v>23</v>
      </c>
    </row>
    <row r="291" spans="1:11" x14ac:dyDescent="0.25">
      <c r="A291" t="s">
        <v>668</v>
      </c>
      <c r="B291" t="s">
        <v>21</v>
      </c>
      <c r="C291" t="s">
        <v>531</v>
      </c>
      <c r="D291" t="s">
        <v>665</v>
      </c>
      <c r="E291" t="s">
        <v>666</v>
      </c>
      <c r="F291" t="s">
        <v>640</v>
      </c>
      <c r="G291" t="s">
        <v>669</v>
      </c>
      <c r="H291">
        <v>25100</v>
      </c>
      <c r="I291">
        <v>28963.040000000001</v>
      </c>
      <c r="J291" t="s">
        <v>18</v>
      </c>
      <c r="K291" t="s">
        <v>27</v>
      </c>
    </row>
    <row r="292" spans="1:11" x14ac:dyDescent="0.25">
      <c r="A292" t="s">
        <v>670</v>
      </c>
      <c r="B292" t="s">
        <v>25</v>
      </c>
      <c r="C292" t="s">
        <v>531</v>
      </c>
      <c r="D292" t="s">
        <v>665</v>
      </c>
      <c r="E292" t="s">
        <v>666</v>
      </c>
      <c r="F292" t="s">
        <v>640</v>
      </c>
      <c r="G292" t="s">
        <v>671</v>
      </c>
      <c r="H292">
        <v>50200</v>
      </c>
      <c r="I292">
        <v>55652.21</v>
      </c>
      <c r="J292" t="s">
        <v>18</v>
      </c>
      <c r="K292" t="s">
        <v>19</v>
      </c>
    </row>
    <row r="293" spans="1:11" x14ac:dyDescent="0.25">
      <c r="A293" t="s">
        <v>672</v>
      </c>
      <c r="B293" t="s">
        <v>29</v>
      </c>
      <c r="C293" t="s">
        <v>531</v>
      </c>
      <c r="D293" t="s">
        <v>665</v>
      </c>
      <c r="E293" t="s">
        <v>666</v>
      </c>
      <c r="F293" t="s">
        <v>640</v>
      </c>
      <c r="G293" t="s">
        <v>673</v>
      </c>
      <c r="H293">
        <v>75300</v>
      </c>
      <c r="I293">
        <v>84239.12</v>
      </c>
      <c r="J293" t="s">
        <v>18</v>
      </c>
      <c r="K293" t="s">
        <v>40</v>
      </c>
    </row>
    <row r="294" spans="1:11" x14ac:dyDescent="0.25">
      <c r="A294" t="s">
        <v>674</v>
      </c>
      <c r="B294" t="s">
        <v>32</v>
      </c>
      <c r="C294" t="s">
        <v>531</v>
      </c>
      <c r="D294" t="s">
        <v>665</v>
      </c>
      <c r="E294" t="s">
        <v>666</v>
      </c>
      <c r="F294" t="s">
        <v>640</v>
      </c>
      <c r="G294" t="s">
        <v>675</v>
      </c>
      <c r="H294">
        <v>112950</v>
      </c>
      <c r="I294">
        <v>134143.10999999999</v>
      </c>
      <c r="J294" t="s">
        <v>18</v>
      </c>
      <c r="K294" t="s">
        <v>23</v>
      </c>
    </row>
    <row r="295" spans="1:11" x14ac:dyDescent="0.25">
      <c r="A295" t="s">
        <v>676</v>
      </c>
      <c r="B295" t="s">
        <v>35</v>
      </c>
      <c r="C295" t="s">
        <v>531</v>
      </c>
      <c r="D295" t="s">
        <v>665</v>
      </c>
      <c r="E295" t="s">
        <v>666</v>
      </c>
      <c r="F295" t="s">
        <v>640</v>
      </c>
      <c r="G295" t="s">
        <v>677</v>
      </c>
      <c r="H295">
        <v>150600</v>
      </c>
      <c r="I295">
        <v>172219.01</v>
      </c>
      <c r="J295" t="s">
        <v>18</v>
      </c>
      <c r="K295" t="s">
        <v>23</v>
      </c>
    </row>
    <row r="296" spans="1:11" x14ac:dyDescent="0.25">
      <c r="A296" t="s">
        <v>678</v>
      </c>
      <c r="B296" t="s">
        <v>38</v>
      </c>
      <c r="C296" t="s">
        <v>531</v>
      </c>
      <c r="D296" t="s">
        <v>665</v>
      </c>
      <c r="E296" t="s">
        <v>666</v>
      </c>
      <c r="F296" t="s">
        <v>640</v>
      </c>
      <c r="G296" t="s">
        <v>679</v>
      </c>
      <c r="H296">
        <v>175700</v>
      </c>
      <c r="I296">
        <v>202196.63</v>
      </c>
      <c r="J296" t="s">
        <v>18</v>
      </c>
      <c r="K296" t="s">
        <v>23</v>
      </c>
    </row>
    <row r="297" spans="1:11" x14ac:dyDescent="0.25">
      <c r="A297" t="s">
        <v>680</v>
      </c>
      <c r="B297" t="s">
        <v>42</v>
      </c>
      <c r="C297" t="s">
        <v>531</v>
      </c>
      <c r="D297" t="s">
        <v>665</v>
      </c>
      <c r="E297" t="s">
        <v>666</v>
      </c>
      <c r="F297" t="s">
        <v>640</v>
      </c>
      <c r="G297" t="s">
        <v>681</v>
      </c>
      <c r="H297">
        <v>175700</v>
      </c>
      <c r="I297">
        <v>0</v>
      </c>
      <c r="J297" t="s">
        <v>50</v>
      </c>
      <c r="K297" t="s">
        <v>40</v>
      </c>
    </row>
    <row r="298" spans="1:11" x14ac:dyDescent="0.25">
      <c r="A298" t="s">
        <v>682</v>
      </c>
      <c r="B298" t="s">
        <v>45</v>
      </c>
      <c r="C298" t="s">
        <v>531</v>
      </c>
      <c r="D298" t="s">
        <v>665</v>
      </c>
      <c r="E298" t="s">
        <v>666</v>
      </c>
      <c r="F298" t="s">
        <v>640</v>
      </c>
      <c r="G298" t="s">
        <v>683</v>
      </c>
      <c r="H298">
        <v>163150</v>
      </c>
      <c r="I298">
        <v>0</v>
      </c>
      <c r="J298" t="s">
        <v>50</v>
      </c>
      <c r="K298" t="s">
        <v>19</v>
      </c>
    </row>
    <row r="299" spans="1:11" x14ac:dyDescent="0.25">
      <c r="A299" t="s">
        <v>684</v>
      </c>
      <c r="B299" t="s">
        <v>48</v>
      </c>
      <c r="C299" t="s">
        <v>531</v>
      </c>
      <c r="D299" t="s">
        <v>665</v>
      </c>
      <c r="E299" t="s">
        <v>666</v>
      </c>
      <c r="F299" t="s">
        <v>640</v>
      </c>
      <c r="G299" t="s">
        <v>685</v>
      </c>
      <c r="H299">
        <v>125500</v>
      </c>
      <c r="I299">
        <v>0</v>
      </c>
      <c r="J299" t="s">
        <v>50</v>
      </c>
      <c r="K299" t="s">
        <v>19</v>
      </c>
    </row>
    <row r="300" spans="1:11" x14ac:dyDescent="0.25">
      <c r="A300" t="s">
        <v>686</v>
      </c>
      <c r="B300" t="s">
        <v>52</v>
      </c>
      <c r="C300" t="s">
        <v>531</v>
      </c>
      <c r="D300" t="s">
        <v>665</v>
      </c>
      <c r="E300" t="s">
        <v>666</v>
      </c>
      <c r="F300" t="s">
        <v>640</v>
      </c>
      <c r="G300" t="s">
        <v>687</v>
      </c>
      <c r="H300">
        <v>100400</v>
      </c>
      <c r="I300">
        <v>0</v>
      </c>
      <c r="J300" t="s">
        <v>50</v>
      </c>
      <c r="K300" t="s">
        <v>40</v>
      </c>
    </row>
    <row r="301" spans="1:11" x14ac:dyDescent="0.25">
      <c r="A301" t="s">
        <v>688</v>
      </c>
      <c r="B301" t="s">
        <v>55</v>
      </c>
      <c r="C301" t="s">
        <v>531</v>
      </c>
      <c r="D301" t="s">
        <v>665</v>
      </c>
      <c r="E301" t="s">
        <v>666</v>
      </c>
      <c r="F301" t="s">
        <v>640</v>
      </c>
      <c r="G301" t="s">
        <v>689</v>
      </c>
      <c r="H301">
        <v>87850</v>
      </c>
      <c r="I301">
        <v>0</v>
      </c>
      <c r="J301" t="s">
        <v>50</v>
      </c>
      <c r="K301" t="s">
        <v>19</v>
      </c>
    </row>
    <row r="302" spans="1:11" x14ac:dyDescent="0.25">
      <c r="A302" t="s">
        <v>690</v>
      </c>
      <c r="B302" t="s">
        <v>12</v>
      </c>
      <c r="C302" t="s">
        <v>531</v>
      </c>
      <c r="D302" t="s">
        <v>691</v>
      </c>
      <c r="E302" t="s">
        <v>692</v>
      </c>
      <c r="F302" t="s">
        <v>534</v>
      </c>
      <c r="G302" t="s">
        <v>693</v>
      </c>
      <c r="H302">
        <v>52180</v>
      </c>
      <c r="I302">
        <v>53236.56</v>
      </c>
      <c r="J302" t="s">
        <v>18</v>
      </c>
      <c r="K302" t="s">
        <v>40</v>
      </c>
    </row>
    <row r="303" spans="1:11" x14ac:dyDescent="0.25">
      <c r="A303" t="s">
        <v>694</v>
      </c>
      <c r="B303" t="s">
        <v>21</v>
      </c>
      <c r="C303" t="s">
        <v>531</v>
      </c>
      <c r="D303" t="s">
        <v>691</v>
      </c>
      <c r="E303" t="s">
        <v>692</v>
      </c>
      <c r="F303" t="s">
        <v>534</v>
      </c>
      <c r="G303" t="s">
        <v>695</v>
      </c>
      <c r="H303">
        <v>104360</v>
      </c>
      <c r="I303">
        <v>113183.01</v>
      </c>
      <c r="J303" t="s">
        <v>18</v>
      </c>
      <c r="K303" t="s">
        <v>23</v>
      </c>
    </row>
    <row r="304" spans="1:11" x14ac:dyDescent="0.25">
      <c r="A304" t="s">
        <v>696</v>
      </c>
      <c r="B304" t="s">
        <v>25</v>
      </c>
      <c r="C304" t="s">
        <v>531</v>
      </c>
      <c r="D304" t="s">
        <v>691</v>
      </c>
      <c r="E304" t="s">
        <v>692</v>
      </c>
      <c r="F304" t="s">
        <v>534</v>
      </c>
      <c r="G304" t="s">
        <v>697</v>
      </c>
      <c r="H304">
        <v>208720</v>
      </c>
      <c r="I304">
        <v>235073.63</v>
      </c>
      <c r="J304" t="s">
        <v>18</v>
      </c>
      <c r="K304" t="s">
        <v>40</v>
      </c>
    </row>
    <row r="305" spans="1:11" x14ac:dyDescent="0.25">
      <c r="A305" t="s">
        <v>698</v>
      </c>
      <c r="B305" t="s">
        <v>29</v>
      </c>
      <c r="C305" t="s">
        <v>531</v>
      </c>
      <c r="D305" t="s">
        <v>691</v>
      </c>
      <c r="E305" t="s">
        <v>692</v>
      </c>
      <c r="F305" t="s">
        <v>534</v>
      </c>
      <c r="G305" t="s">
        <v>699</v>
      </c>
      <c r="H305">
        <v>313080</v>
      </c>
      <c r="I305">
        <v>360421.45</v>
      </c>
      <c r="J305" t="s">
        <v>18</v>
      </c>
      <c r="K305" t="s">
        <v>40</v>
      </c>
    </row>
    <row r="306" spans="1:11" x14ac:dyDescent="0.25">
      <c r="A306" t="s">
        <v>700</v>
      </c>
      <c r="B306" t="s">
        <v>32</v>
      </c>
      <c r="C306" t="s">
        <v>531</v>
      </c>
      <c r="D306" t="s">
        <v>691</v>
      </c>
      <c r="E306" t="s">
        <v>692</v>
      </c>
      <c r="F306" t="s">
        <v>534</v>
      </c>
      <c r="G306" t="s">
        <v>701</v>
      </c>
      <c r="H306">
        <v>469620</v>
      </c>
      <c r="I306">
        <v>554121.17000000004</v>
      </c>
      <c r="J306" t="s">
        <v>18</v>
      </c>
      <c r="K306" t="s">
        <v>23</v>
      </c>
    </row>
    <row r="307" spans="1:11" x14ac:dyDescent="0.25">
      <c r="A307" t="s">
        <v>702</v>
      </c>
      <c r="B307" t="s">
        <v>35</v>
      </c>
      <c r="C307" t="s">
        <v>531</v>
      </c>
      <c r="D307" t="s">
        <v>691</v>
      </c>
      <c r="E307" t="s">
        <v>692</v>
      </c>
      <c r="F307" t="s">
        <v>534</v>
      </c>
      <c r="G307" t="s">
        <v>703</v>
      </c>
      <c r="H307">
        <v>626160</v>
      </c>
      <c r="I307">
        <v>724878.14</v>
      </c>
      <c r="J307" t="s">
        <v>18</v>
      </c>
      <c r="K307" t="s">
        <v>23</v>
      </c>
    </row>
    <row r="308" spans="1:11" x14ac:dyDescent="0.25">
      <c r="A308" t="s">
        <v>704</v>
      </c>
      <c r="B308" t="s">
        <v>38</v>
      </c>
      <c r="C308" t="s">
        <v>531</v>
      </c>
      <c r="D308" t="s">
        <v>691</v>
      </c>
      <c r="E308" t="s">
        <v>692</v>
      </c>
      <c r="F308" t="s">
        <v>534</v>
      </c>
      <c r="G308" t="s">
        <v>705</v>
      </c>
      <c r="H308">
        <v>730520</v>
      </c>
      <c r="I308">
        <v>858513.37</v>
      </c>
      <c r="J308" t="s">
        <v>18</v>
      </c>
      <c r="K308" t="s">
        <v>19</v>
      </c>
    </row>
    <row r="309" spans="1:11" x14ac:dyDescent="0.25">
      <c r="A309" t="s">
        <v>706</v>
      </c>
      <c r="B309" t="s">
        <v>42</v>
      </c>
      <c r="C309" t="s">
        <v>531</v>
      </c>
      <c r="D309" t="s">
        <v>691</v>
      </c>
      <c r="E309" t="s">
        <v>692</v>
      </c>
      <c r="F309" t="s">
        <v>534</v>
      </c>
      <c r="G309" t="s">
        <v>707</v>
      </c>
      <c r="H309">
        <v>730520</v>
      </c>
      <c r="I309">
        <v>0</v>
      </c>
      <c r="J309" t="s">
        <v>50</v>
      </c>
      <c r="K309" t="s">
        <v>27</v>
      </c>
    </row>
    <row r="310" spans="1:11" x14ac:dyDescent="0.25">
      <c r="A310" t="s">
        <v>708</v>
      </c>
      <c r="B310" t="s">
        <v>45</v>
      </c>
      <c r="C310" t="s">
        <v>531</v>
      </c>
      <c r="D310" t="s">
        <v>691</v>
      </c>
      <c r="E310" t="s">
        <v>692</v>
      </c>
      <c r="F310" t="s">
        <v>534</v>
      </c>
      <c r="G310" t="s">
        <v>709</v>
      </c>
      <c r="H310">
        <v>678340</v>
      </c>
      <c r="I310">
        <v>0</v>
      </c>
      <c r="J310" t="s">
        <v>50</v>
      </c>
      <c r="K310" t="s">
        <v>27</v>
      </c>
    </row>
    <row r="311" spans="1:11" x14ac:dyDescent="0.25">
      <c r="A311" t="s">
        <v>710</v>
      </c>
      <c r="B311" t="s">
        <v>48</v>
      </c>
      <c r="C311" t="s">
        <v>531</v>
      </c>
      <c r="D311" t="s">
        <v>691</v>
      </c>
      <c r="E311" t="s">
        <v>692</v>
      </c>
      <c r="F311" t="s">
        <v>534</v>
      </c>
      <c r="G311" t="s">
        <v>711</v>
      </c>
      <c r="H311">
        <v>521800</v>
      </c>
      <c r="I311">
        <v>0</v>
      </c>
      <c r="J311" t="s">
        <v>50</v>
      </c>
      <c r="K311" t="s">
        <v>23</v>
      </c>
    </row>
    <row r="312" spans="1:11" x14ac:dyDescent="0.25">
      <c r="A312" t="s">
        <v>712</v>
      </c>
      <c r="B312" t="s">
        <v>52</v>
      </c>
      <c r="C312" t="s">
        <v>531</v>
      </c>
      <c r="D312" t="s">
        <v>691</v>
      </c>
      <c r="E312" t="s">
        <v>692</v>
      </c>
      <c r="F312" t="s">
        <v>534</v>
      </c>
      <c r="G312" t="s">
        <v>713</v>
      </c>
      <c r="H312">
        <v>417440</v>
      </c>
      <c r="I312">
        <v>0</v>
      </c>
      <c r="J312" t="s">
        <v>50</v>
      </c>
      <c r="K312" t="s">
        <v>19</v>
      </c>
    </row>
    <row r="313" spans="1:11" x14ac:dyDescent="0.25">
      <c r="A313" t="s">
        <v>714</v>
      </c>
      <c r="B313" t="s">
        <v>55</v>
      </c>
      <c r="C313" t="s">
        <v>531</v>
      </c>
      <c r="D313" t="s">
        <v>691</v>
      </c>
      <c r="E313" t="s">
        <v>692</v>
      </c>
      <c r="F313" t="s">
        <v>534</v>
      </c>
      <c r="G313" t="s">
        <v>715</v>
      </c>
      <c r="H313">
        <v>365260</v>
      </c>
      <c r="I313">
        <v>0</v>
      </c>
      <c r="J313" t="s">
        <v>50</v>
      </c>
      <c r="K313" t="s">
        <v>40</v>
      </c>
    </row>
    <row r="314" spans="1:11" x14ac:dyDescent="0.25">
      <c r="A314" t="s">
        <v>716</v>
      </c>
      <c r="B314" t="s">
        <v>12</v>
      </c>
      <c r="C314" t="s">
        <v>531</v>
      </c>
      <c r="D314" t="s">
        <v>717</v>
      </c>
      <c r="E314" t="s">
        <v>718</v>
      </c>
      <c r="F314" t="s">
        <v>640</v>
      </c>
      <c r="G314" t="s">
        <v>719</v>
      </c>
      <c r="H314">
        <v>58330</v>
      </c>
      <c r="I314">
        <v>58396.160000000003</v>
      </c>
      <c r="J314" t="s">
        <v>18</v>
      </c>
      <c r="K314" t="s">
        <v>40</v>
      </c>
    </row>
    <row r="315" spans="1:11" x14ac:dyDescent="0.25">
      <c r="A315" t="s">
        <v>720</v>
      </c>
      <c r="B315" t="s">
        <v>21</v>
      </c>
      <c r="C315" t="s">
        <v>531</v>
      </c>
      <c r="D315" t="s">
        <v>717</v>
      </c>
      <c r="E315" t="s">
        <v>718</v>
      </c>
      <c r="F315" t="s">
        <v>640</v>
      </c>
      <c r="G315" t="s">
        <v>721</v>
      </c>
      <c r="H315">
        <v>116660</v>
      </c>
      <c r="I315">
        <v>128345.46</v>
      </c>
      <c r="J315" t="s">
        <v>18</v>
      </c>
      <c r="K315" t="s">
        <v>40</v>
      </c>
    </row>
    <row r="316" spans="1:11" x14ac:dyDescent="0.25">
      <c r="A316" t="s">
        <v>722</v>
      </c>
      <c r="B316" t="s">
        <v>25</v>
      </c>
      <c r="C316" t="s">
        <v>531</v>
      </c>
      <c r="D316" t="s">
        <v>717</v>
      </c>
      <c r="E316" t="s">
        <v>718</v>
      </c>
      <c r="F316" t="s">
        <v>640</v>
      </c>
      <c r="G316" t="s">
        <v>723</v>
      </c>
      <c r="H316">
        <v>233320</v>
      </c>
      <c r="I316">
        <v>276321.8</v>
      </c>
      <c r="J316" t="s">
        <v>18</v>
      </c>
      <c r="K316" t="s">
        <v>27</v>
      </c>
    </row>
    <row r="317" spans="1:11" x14ac:dyDescent="0.25">
      <c r="A317" t="s">
        <v>724</v>
      </c>
      <c r="B317" t="s">
        <v>29</v>
      </c>
      <c r="C317" t="s">
        <v>531</v>
      </c>
      <c r="D317" t="s">
        <v>717</v>
      </c>
      <c r="E317" t="s">
        <v>718</v>
      </c>
      <c r="F317" t="s">
        <v>640</v>
      </c>
      <c r="G317" t="s">
        <v>725</v>
      </c>
      <c r="H317">
        <v>349980</v>
      </c>
      <c r="I317">
        <v>396671.76</v>
      </c>
      <c r="J317" t="s">
        <v>18</v>
      </c>
      <c r="K317" t="s">
        <v>19</v>
      </c>
    </row>
    <row r="318" spans="1:11" x14ac:dyDescent="0.25">
      <c r="A318" t="s">
        <v>726</v>
      </c>
      <c r="B318" t="s">
        <v>32</v>
      </c>
      <c r="C318" t="s">
        <v>531</v>
      </c>
      <c r="D318" t="s">
        <v>717</v>
      </c>
      <c r="E318" t="s">
        <v>718</v>
      </c>
      <c r="F318" t="s">
        <v>640</v>
      </c>
      <c r="G318" t="s">
        <v>727</v>
      </c>
      <c r="H318">
        <v>524970</v>
      </c>
      <c r="I318">
        <v>612933.15</v>
      </c>
      <c r="J318" t="s">
        <v>18</v>
      </c>
      <c r="K318" t="s">
        <v>40</v>
      </c>
    </row>
    <row r="319" spans="1:11" x14ac:dyDescent="0.25">
      <c r="A319" t="s">
        <v>728</v>
      </c>
      <c r="B319" t="s">
        <v>35</v>
      </c>
      <c r="C319" t="s">
        <v>531</v>
      </c>
      <c r="D319" t="s">
        <v>717</v>
      </c>
      <c r="E319" t="s">
        <v>718</v>
      </c>
      <c r="F319" t="s">
        <v>640</v>
      </c>
      <c r="G319" t="s">
        <v>729</v>
      </c>
      <c r="H319">
        <v>699960</v>
      </c>
      <c r="I319">
        <v>804741.81</v>
      </c>
      <c r="J319" t="s">
        <v>18</v>
      </c>
      <c r="K319" t="s">
        <v>27</v>
      </c>
    </row>
    <row r="320" spans="1:11" x14ac:dyDescent="0.25">
      <c r="A320" t="s">
        <v>730</v>
      </c>
      <c r="B320" t="s">
        <v>38</v>
      </c>
      <c r="C320" t="s">
        <v>531</v>
      </c>
      <c r="D320" t="s">
        <v>717</v>
      </c>
      <c r="E320" t="s">
        <v>718</v>
      </c>
      <c r="F320" t="s">
        <v>640</v>
      </c>
      <c r="G320" t="s">
        <v>731</v>
      </c>
      <c r="H320">
        <v>816620</v>
      </c>
      <c r="I320">
        <v>957557.44</v>
      </c>
      <c r="J320" t="s">
        <v>18</v>
      </c>
      <c r="K320" t="s">
        <v>19</v>
      </c>
    </row>
    <row r="321" spans="1:11" x14ac:dyDescent="0.25">
      <c r="A321" t="s">
        <v>732</v>
      </c>
      <c r="B321" t="s">
        <v>42</v>
      </c>
      <c r="C321" t="s">
        <v>531</v>
      </c>
      <c r="D321" t="s">
        <v>717</v>
      </c>
      <c r="E321" t="s">
        <v>718</v>
      </c>
      <c r="F321" t="s">
        <v>640</v>
      </c>
      <c r="G321" t="s">
        <v>733</v>
      </c>
      <c r="H321">
        <v>816620</v>
      </c>
      <c r="I321">
        <v>0</v>
      </c>
      <c r="J321" t="s">
        <v>50</v>
      </c>
      <c r="K321" t="s">
        <v>19</v>
      </c>
    </row>
    <row r="322" spans="1:11" x14ac:dyDescent="0.25">
      <c r="A322" t="s">
        <v>734</v>
      </c>
      <c r="B322" t="s">
        <v>45</v>
      </c>
      <c r="C322" t="s">
        <v>531</v>
      </c>
      <c r="D322" t="s">
        <v>717</v>
      </c>
      <c r="E322" t="s">
        <v>718</v>
      </c>
      <c r="F322" t="s">
        <v>640</v>
      </c>
      <c r="G322" t="s">
        <v>735</v>
      </c>
      <c r="H322">
        <v>758290</v>
      </c>
      <c r="I322">
        <v>0</v>
      </c>
      <c r="J322" t="s">
        <v>50</v>
      </c>
      <c r="K322" t="s">
        <v>19</v>
      </c>
    </row>
    <row r="323" spans="1:11" x14ac:dyDescent="0.25">
      <c r="A323" t="s">
        <v>736</v>
      </c>
      <c r="B323" t="s">
        <v>48</v>
      </c>
      <c r="C323" t="s">
        <v>531</v>
      </c>
      <c r="D323" t="s">
        <v>717</v>
      </c>
      <c r="E323" t="s">
        <v>718</v>
      </c>
      <c r="F323" t="s">
        <v>640</v>
      </c>
      <c r="G323" t="s">
        <v>737</v>
      </c>
      <c r="H323">
        <v>583300</v>
      </c>
      <c r="I323">
        <v>0</v>
      </c>
      <c r="J323" t="s">
        <v>50</v>
      </c>
      <c r="K323" t="s">
        <v>23</v>
      </c>
    </row>
    <row r="324" spans="1:11" x14ac:dyDescent="0.25">
      <c r="A324" t="s">
        <v>738</v>
      </c>
      <c r="B324" t="s">
        <v>52</v>
      </c>
      <c r="C324" t="s">
        <v>531</v>
      </c>
      <c r="D324" t="s">
        <v>717</v>
      </c>
      <c r="E324" t="s">
        <v>718</v>
      </c>
      <c r="F324" t="s">
        <v>640</v>
      </c>
      <c r="G324" t="s">
        <v>739</v>
      </c>
      <c r="H324">
        <v>466640</v>
      </c>
      <c r="I324">
        <v>0</v>
      </c>
      <c r="J324" t="s">
        <v>50</v>
      </c>
      <c r="K324" t="s">
        <v>40</v>
      </c>
    </row>
    <row r="325" spans="1:11" x14ac:dyDescent="0.25">
      <c r="A325" t="s">
        <v>740</v>
      </c>
      <c r="B325" t="s">
        <v>55</v>
      </c>
      <c r="C325" t="s">
        <v>531</v>
      </c>
      <c r="D325" t="s">
        <v>717</v>
      </c>
      <c r="E325" t="s">
        <v>718</v>
      </c>
      <c r="F325" t="s">
        <v>640</v>
      </c>
      <c r="G325" t="s">
        <v>741</v>
      </c>
      <c r="H325">
        <v>408310</v>
      </c>
      <c r="I325">
        <v>0</v>
      </c>
      <c r="J325" t="s">
        <v>50</v>
      </c>
      <c r="K325" t="s">
        <v>23</v>
      </c>
    </row>
    <row r="326" spans="1:11" x14ac:dyDescent="0.25">
      <c r="A326" t="s">
        <v>742</v>
      </c>
      <c r="B326" t="s">
        <v>12</v>
      </c>
      <c r="C326" t="s">
        <v>531</v>
      </c>
      <c r="D326" t="s">
        <v>743</v>
      </c>
      <c r="E326" t="s">
        <v>744</v>
      </c>
      <c r="F326" t="s">
        <v>587</v>
      </c>
      <c r="G326" t="s">
        <v>745</v>
      </c>
      <c r="H326">
        <v>40590</v>
      </c>
      <c r="I326">
        <v>39932.42</v>
      </c>
      <c r="J326" t="s">
        <v>18</v>
      </c>
      <c r="K326" t="s">
        <v>23</v>
      </c>
    </row>
    <row r="327" spans="1:11" x14ac:dyDescent="0.25">
      <c r="A327" t="s">
        <v>746</v>
      </c>
      <c r="B327" t="s">
        <v>21</v>
      </c>
      <c r="C327" t="s">
        <v>531</v>
      </c>
      <c r="D327" t="s">
        <v>743</v>
      </c>
      <c r="E327" t="s">
        <v>744</v>
      </c>
      <c r="F327" t="s">
        <v>587</v>
      </c>
      <c r="G327" t="s">
        <v>747</v>
      </c>
      <c r="H327">
        <v>81180</v>
      </c>
      <c r="I327">
        <v>88186.98</v>
      </c>
      <c r="J327" t="s">
        <v>18</v>
      </c>
      <c r="K327" t="s">
        <v>23</v>
      </c>
    </row>
    <row r="328" spans="1:11" x14ac:dyDescent="0.25">
      <c r="A328" t="s">
        <v>748</v>
      </c>
      <c r="B328" t="s">
        <v>25</v>
      </c>
      <c r="C328" t="s">
        <v>531</v>
      </c>
      <c r="D328" t="s">
        <v>743</v>
      </c>
      <c r="E328" t="s">
        <v>744</v>
      </c>
      <c r="F328" t="s">
        <v>587</v>
      </c>
      <c r="G328" t="s">
        <v>749</v>
      </c>
      <c r="H328">
        <v>162360</v>
      </c>
      <c r="I328">
        <v>179133.07</v>
      </c>
      <c r="J328" t="s">
        <v>18</v>
      </c>
      <c r="K328" t="s">
        <v>19</v>
      </c>
    </row>
    <row r="329" spans="1:11" x14ac:dyDescent="0.25">
      <c r="A329" t="s">
        <v>750</v>
      </c>
      <c r="B329" t="s">
        <v>29</v>
      </c>
      <c r="C329" t="s">
        <v>531</v>
      </c>
      <c r="D329" t="s">
        <v>743</v>
      </c>
      <c r="E329" t="s">
        <v>744</v>
      </c>
      <c r="F329" t="s">
        <v>587</v>
      </c>
      <c r="G329" t="s">
        <v>751</v>
      </c>
      <c r="H329">
        <v>243540</v>
      </c>
      <c r="I329">
        <v>274081.84999999998</v>
      </c>
      <c r="J329" t="s">
        <v>18</v>
      </c>
      <c r="K329" t="s">
        <v>27</v>
      </c>
    </row>
    <row r="330" spans="1:11" x14ac:dyDescent="0.25">
      <c r="A330" t="s">
        <v>752</v>
      </c>
      <c r="B330" t="s">
        <v>32</v>
      </c>
      <c r="C330" t="s">
        <v>531</v>
      </c>
      <c r="D330" t="s">
        <v>743</v>
      </c>
      <c r="E330" t="s">
        <v>744</v>
      </c>
      <c r="F330" t="s">
        <v>587</v>
      </c>
      <c r="G330" t="s">
        <v>753</v>
      </c>
      <c r="H330">
        <v>365310</v>
      </c>
      <c r="I330">
        <v>398675.81</v>
      </c>
      <c r="J330" t="s">
        <v>18</v>
      </c>
      <c r="K330" t="s">
        <v>23</v>
      </c>
    </row>
    <row r="331" spans="1:11" x14ac:dyDescent="0.25">
      <c r="A331" t="s">
        <v>754</v>
      </c>
      <c r="B331" t="s">
        <v>35</v>
      </c>
      <c r="C331" t="s">
        <v>531</v>
      </c>
      <c r="D331" t="s">
        <v>743</v>
      </c>
      <c r="E331" t="s">
        <v>744</v>
      </c>
      <c r="F331" t="s">
        <v>587</v>
      </c>
      <c r="G331" t="s">
        <v>755</v>
      </c>
      <c r="H331">
        <v>487080</v>
      </c>
      <c r="I331">
        <v>542034.86</v>
      </c>
      <c r="J331" t="s">
        <v>18</v>
      </c>
      <c r="K331" t="s">
        <v>19</v>
      </c>
    </row>
    <row r="332" spans="1:11" x14ac:dyDescent="0.25">
      <c r="A332" t="s">
        <v>756</v>
      </c>
      <c r="B332" t="s">
        <v>38</v>
      </c>
      <c r="C332" t="s">
        <v>531</v>
      </c>
      <c r="D332" t="s">
        <v>743</v>
      </c>
      <c r="E332" t="s">
        <v>744</v>
      </c>
      <c r="F332" t="s">
        <v>587</v>
      </c>
      <c r="G332" t="s">
        <v>757</v>
      </c>
      <c r="H332">
        <v>568260</v>
      </c>
      <c r="I332">
        <v>644056.89</v>
      </c>
      <c r="J332" t="s">
        <v>18</v>
      </c>
      <c r="K332" t="s">
        <v>40</v>
      </c>
    </row>
    <row r="333" spans="1:11" x14ac:dyDescent="0.25">
      <c r="A333" t="s">
        <v>758</v>
      </c>
      <c r="B333" t="s">
        <v>42</v>
      </c>
      <c r="C333" t="s">
        <v>531</v>
      </c>
      <c r="D333" t="s">
        <v>743</v>
      </c>
      <c r="E333" t="s">
        <v>744</v>
      </c>
      <c r="F333" t="s">
        <v>587</v>
      </c>
      <c r="G333" t="s">
        <v>759</v>
      </c>
      <c r="H333">
        <v>568260</v>
      </c>
      <c r="I333">
        <v>0</v>
      </c>
      <c r="J333" t="s">
        <v>50</v>
      </c>
      <c r="K333" t="s">
        <v>19</v>
      </c>
    </row>
    <row r="334" spans="1:11" x14ac:dyDescent="0.25">
      <c r="A334" t="s">
        <v>760</v>
      </c>
      <c r="B334" t="s">
        <v>45</v>
      </c>
      <c r="C334" t="s">
        <v>531</v>
      </c>
      <c r="D334" t="s">
        <v>743</v>
      </c>
      <c r="E334" t="s">
        <v>744</v>
      </c>
      <c r="F334" t="s">
        <v>587</v>
      </c>
      <c r="G334" t="s">
        <v>761</v>
      </c>
      <c r="H334">
        <v>527670</v>
      </c>
      <c r="I334">
        <v>0</v>
      </c>
      <c r="J334" t="s">
        <v>50</v>
      </c>
      <c r="K334" t="s">
        <v>40</v>
      </c>
    </row>
    <row r="335" spans="1:11" x14ac:dyDescent="0.25">
      <c r="A335" t="s">
        <v>762</v>
      </c>
      <c r="B335" t="s">
        <v>48</v>
      </c>
      <c r="C335" t="s">
        <v>531</v>
      </c>
      <c r="D335" t="s">
        <v>743</v>
      </c>
      <c r="E335" t="s">
        <v>744</v>
      </c>
      <c r="F335" t="s">
        <v>587</v>
      </c>
      <c r="G335" t="s">
        <v>763</v>
      </c>
      <c r="H335">
        <v>405900</v>
      </c>
      <c r="I335">
        <v>0</v>
      </c>
      <c r="J335" t="s">
        <v>50</v>
      </c>
      <c r="K335" t="s">
        <v>40</v>
      </c>
    </row>
    <row r="336" spans="1:11" x14ac:dyDescent="0.25">
      <c r="A336" t="s">
        <v>764</v>
      </c>
      <c r="B336" t="s">
        <v>52</v>
      </c>
      <c r="C336" t="s">
        <v>531</v>
      </c>
      <c r="D336" t="s">
        <v>743</v>
      </c>
      <c r="E336" t="s">
        <v>744</v>
      </c>
      <c r="F336" t="s">
        <v>587</v>
      </c>
      <c r="G336" t="s">
        <v>765</v>
      </c>
      <c r="H336">
        <v>324720</v>
      </c>
      <c r="I336">
        <v>0</v>
      </c>
      <c r="J336" t="s">
        <v>50</v>
      </c>
      <c r="K336" t="s">
        <v>19</v>
      </c>
    </row>
    <row r="337" spans="1:11" x14ac:dyDescent="0.25">
      <c r="A337" t="s">
        <v>766</v>
      </c>
      <c r="B337" t="s">
        <v>55</v>
      </c>
      <c r="C337" t="s">
        <v>531</v>
      </c>
      <c r="D337" t="s">
        <v>743</v>
      </c>
      <c r="E337" t="s">
        <v>744</v>
      </c>
      <c r="F337" t="s">
        <v>587</v>
      </c>
      <c r="G337" t="s">
        <v>767</v>
      </c>
      <c r="H337">
        <v>284130</v>
      </c>
      <c r="I337">
        <v>0</v>
      </c>
      <c r="J337" t="s">
        <v>50</v>
      </c>
      <c r="K337" t="s">
        <v>40</v>
      </c>
    </row>
    <row r="338" spans="1:11" x14ac:dyDescent="0.25">
      <c r="A338" t="s">
        <v>768</v>
      </c>
      <c r="B338" t="s">
        <v>12</v>
      </c>
      <c r="C338" t="s">
        <v>531</v>
      </c>
      <c r="D338" t="s">
        <v>769</v>
      </c>
      <c r="E338" t="s">
        <v>770</v>
      </c>
      <c r="F338" t="s">
        <v>534</v>
      </c>
      <c r="G338" t="s">
        <v>481</v>
      </c>
      <c r="H338">
        <v>24610</v>
      </c>
      <c r="I338">
        <v>24084.68</v>
      </c>
      <c r="J338" t="s">
        <v>18</v>
      </c>
      <c r="K338" t="s">
        <v>27</v>
      </c>
    </row>
    <row r="339" spans="1:11" x14ac:dyDescent="0.25">
      <c r="A339" t="s">
        <v>771</v>
      </c>
      <c r="B339" t="s">
        <v>21</v>
      </c>
      <c r="C339" t="s">
        <v>531</v>
      </c>
      <c r="D339" t="s">
        <v>769</v>
      </c>
      <c r="E339" t="s">
        <v>770</v>
      </c>
      <c r="F339" t="s">
        <v>534</v>
      </c>
      <c r="G339" t="s">
        <v>772</v>
      </c>
      <c r="H339">
        <v>49220</v>
      </c>
      <c r="I339">
        <v>54633.79</v>
      </c>
      <c r="J339" t="s">
        <v>18</v>
      </c>
      <c r="K339" t="s">
        <v>23</v>
      </c>
    </row>
    <row r="340" spans="1:11" x14ac:dyDescent="0.25">
      <c r="A340" t="s">
        <v>773</v>
      </c>
      <c r="B340" t="s">
        <v>25</v>
      </c>
      <c r="C340" t="s">
        <v>531</v>
      </c>
      <c r="D340" t="s">
        <v>769</v>
      </c>
      <c r="E340" t="s">
        <v>770</v>
      </c>
      <c r="F340" t="s">
        <v>534</v>
      </c>
      <c r="G340" t="s">
        <v>774</v>
      </c>
      <c r="H340">
        <v>98440</v>
      </c>
      <c r="I340">
        <v>107890.98</v>
      </c>
      <c r="J340" t="s">
        <v>18</v>
      </c>
      <c r="K340" t="s">
        <v>23</v>
      </c>
    </row>
    <row r="341" spans="1:11" x14ac:dyDescent="0.25">
      <c r="A341" t="s">
        <v>775</v>
      </c>
      <c r="B341" t="s">
        <v>29</v>
      </c>
      <c r="C341" t="s">
        <v>531</v>
      </c>
      <c r="D341" t="s">
        <v>769</v>
      </c>
      <c r="E341" t="s">
        <v>770</v>
      </c>
      <c r="F341" t="s">
        <v>534</v>
      </c>
      <c r="G341" t="s">
        <v>776</v>
      </c>
      <c r="H341">
        <v>147660</v>
      </c>
      <c r="I341">
        <v>157258.47</v>
      </c>
      <c r="J341" t="s">
        <v>18</v>
      </c>
      <c r="K341" t="s">
        <v>23</v>
      </c>
    </row>
    <row r="342" spans="1:11" x14ac:dyDescent="0.25">
      <c r="A342" t="s">
        <v>777</v>
      </c>
      <c r="B342" t="s">
        <v>32</v>
      </c>
      <c r="C342" t="s">
        <v>531</v>
      </c>
      <c r="D342" t="s">
        <v>769</v>
      </c>
      <c r="E342" t="s">
        <v>770</v>
      </c>
      <c r="F342" t="s">
        <v>534</v>
      </c>
      <c r="G342" t="s">
        <v>778</v>
      </c>
      <c r="H342">
        <v>221490</v>
      </c>
      <c r="I342">
        <v>261660.38</v>
      </c>
      <c r="J342" t="s">
        <v>18</v>
      </c>
      <c r="K342" t="s">
        <v>27</v>
      </c>
    </row>
    <row r="343" spans="1:11" x14ac:dyDescent="0.25">
      <c r="A343" t="s">
        <v>779</v>
      </c>
      <c r="B343" t="s">
        <v>35</v>
      </c>
      <c r="C343" t="s">
        <v>531</v>
      </c>
      <c r="D343" t="s">
        <v>769</v>
      </c>
      <c r="E343" t="s">
        <v>770</v>
      </c>
      <c r="F343" t="s">
        <v>534</v>
      </c>
      <c r="G343" t="s">
        <v>780</v>
      </c>
      <c r="H343">
        <v>295320</v>
      </c>
      <c r="I343">
        <v>325163.45</v>
      </c>
      <c r="J343" t="s">
        <v>18</v>
      </c>
      <c r="K343" t="s">
        <v>27</v>
      </c>
    </row>
    <row r="344" spans="1:11" x14ac:dyDescent="0.25">
      <c r="A344" t="s">
        <v>781</v>
      </c>
      <c r="B344" t="s">
        <v>38</v>
      </c>
      <c r="C344" t="s">
        <v>531</v>
      </c>
      <c r="D344" t="s">
        <v>769</v>
      </c>
      <c r="E344" t="s">
        <v>770</v>
      </c>
      <c r="F344" t="s">
        <v>534</v>
      </c>
      <c r="G344" t="s">
        <v>782</v>
      </c>
      <c r="H344">
        <v>344540</v>
      </c>
      <c r="I344">
        <v>374336.7</v>
      </c>
      <c r="J344" t="s">
        <v>18</v>
      </c>
      <c r="K344" t="s">
        <v>27</v>
      </c>
    </row>
    <row r="345" spans="1:11" x14ac:dyDescent="0.25">
      <c r="A345" t="s">
        <v>783</v>
      </c>
      <c r="B345" t="s">
        <v>42</v>
      </c>
      <c r="C345" t="s">
        <v>531</v>
      </c>
      <c r="D345" t="s">
        <v>769</v>
      </c>
      <c r="E345" t="s">
        <v>770</v>
      </c>
      <c r="F345" t="s">
        <v>534</v>
      </c>
      <c r="G345" t="s">
        <v>784</v>
      </c>
      <c r="H345">
        <v>344540</v>
      </c>
      <c r="I345">
        <v>0</v>
      </c>
      <c r="J345" t="s">
        <v>50</v>
      </c>
      <c r="K345" t="s">
        <v>40</v>
      </c>
    </row>
    <row r="346" spans="1:11" x14ac:dyDescent="0.25">
      <c r="A346" t="s">
        <v>785</v>
      </c>
      <c r="B346" t="s">
        <v>45</v>
      </c>
      <c r="C346" t="s">
        <v>531</v>
      </c>
      <c r="D346" t="s">
        <v>769</v>
      </c>
      <c r="E346" t="s">
        <v>770</v>
      </c>
      <c r="F346" t="s">
        <v>534</v>
      </c>
      <c r="G346" t="s">
        <v>786</v>
      </c>
      <c r="H346">
        <v>319930</v>
      </c>
      <c r="I346">
        <v>0</v>
      </c>
      <c r="J346" t="s">
        <v>50</v>
      </c>
      <c r="K346" t="s">
        <v>23</v>
      </c>
    </row>
    <row r="347" spans="1:11" x14ac:dyDescent="0.25">
      <c r="A347" t="s">
        <v>787</v>
      </c>
      <c r="B347" t="s">
        <v>48</v>
      </c>
      <c r="C347" t="s">
        <v>531</v>
      </c>
      <c r="D347" t="s">
        <v>769</v>
      </c>
      <c r="E347" t="s">
        <v>770</v>
      </c>
      <c r="F347" t="s">
        <v>534</v>
      </c>
      <c r="G347" t="s">
        <v>788</v>
      </c>
      <c r="H347">
        <v>246100</v>
      </c>
      <c r="I347">
        <v>0</v>
      </c>
      <c r="J347" t="s">
        <v>50</v>
      </c>
      <c r="K347" t="s">
        <v>19</v>
      </c>
    </row>
    <row r="348" spans="1:11" x14ac:dyDescent="0.25">
      <c r="A348" t="s">
        <v>789</v>
      </c>
      <c r="B348" t="s">
        <v>52</v>
      </c>
      <c r="C348" t="s">
        <v>531</v>
      </c>
      <c r="D348" t="s">
        <v>769</v>
      </c>
      <c r="E348" t="s">
        <v>770</v>
      </c>
      <c r="F348" t="s">
        <v>534</v>
      </c>
      <c r="G348" t="s">
        <v>790</v>
      </c>
      <c r="H348">
        <v>196880</v>
      </c>
      <c r="I348">
        <v>0</v>
      </c>
      <c r="J348" t="s">
        <v>50</v>
      </c>
      <c r="K348" t="s">
        <v>40</v>
      </c>
    </row>
    <row r="349" spans="1:11" x14ac:dyDescent="0.25">
      <c r="A349" t="s">
        <v>791</v>
      </c>
      <c r="B349" t="s">
        <v>55</v>
      </c>
      <c r="C349" t="s">
        <v>531</v>
      </c>
      <c r="D349" t="s">
        <v>769</v>
      </c>
      <c r="E349" t="s">
        <v>770</v>
      </c>
      <c r="F349" t="s">
        <v>534</v>
      </c>
      <c r="G349" t="s">
        <v>792</v>
      </c>
      <c r="H349">
        <v>172270</v>
      </c>
      <c r="I349">
        <v>0</v>
      </c>
      <c r="J349" t="s">
        <v>50</v>
      </c>
      <c r="K349" t="s">
        <v>27</v>
      </c>
    </row>
    <row r="350" spans="1:11" x14ac:dyDescent="0.25">
      <c r="A350" t="s">
        <v>793</v>
      </c>
      <c r="B350" t="s">
        <v>12</v>
      </c>
      <c r="C350" t="s">
        <v>794</v>
      </c>
      <c r="D350" t="s">
        <v>795</v>
      </c>
      <c r="E350" t="s">
        <v>796</v>
      </c>
      <c r="F350" t="s">
        <v>797</v>
      </c>
      <c r="G350" t="s">
        <v>798</v>
      </c>
      <c r="H350">
        <v>50760</v>
      </c>
      <c r="I350">
        <v>52465.440000000002</v>
      </c>
      <c r="J350" t="s">
        <v>18</v>
      </c>
      <c r="K350" t="s">
        <v>23</v>
      </c>
    </row>
    <row r="351" spans="1:11" x14ac:dyDescent="0.25">
      <c r="A351" t="s">
        <v>799</v>
      </c>
      <c r="B351" t="s">
        <v>21</v>
      </c>
      <c r="C351" t="s">
        <v>794</v>
      </c>
      <c r="D351" t="s">
        <v>795</v>
      </c>
      <c r="E351" t="s">
        <v>796</v>
      </c>
      <c r="F351" t="s">
        <v>797</v>
      </c>
      <c r="G351" t="s">
        <v>800</v>
      </c>
      <c r="H351">
        <v>84600</v>
      </c>
      <c r="I351">
        <v>84532.78</v>
      </c>
      <c r="J351" t="s">
        <v>18</v>
      </c>
      <c r="K351" t="s">
        <v>19</v>
      </c>
    </row>
    <row r="352" spans="1:11" x14ac:dyDescent="0.25">
      <c r="A352" t="s">
        <v>801</v>
      </c>
      <c r="B352" t="s">
        <v>25</v>
      </c>
      <c r="C352" t="s">
        <v>794</v>
      </c>
      <c r="D352" t="s">
        <v>795</v>
      </c>
      <c r="E352" t="s">
        <v>796</v>
      </c>
      <c r="F352" t="s">
        <v>797</v>
      </c>
      <c r="G352" t="s">
        <v>802</v>
      </c>
      <c r="H352">
        <v>101520</v>
      </c>
      <c r="I352">
        <v>98919.1</v>
      </c>
      <c r="J352" t="s">
        <v>18</v>
      </c>
      <c r="K352" t="s">
        <v>27</v>
      </c>
    </row>
    <row r="353" spans="1:11" x14ac:dyDescent="0.25">
      <c r="A353" t="s">
        <v>803</v>
      </c>
      <c r="B353" t="s">
        <v>29</v>
      </c>
      <c r="C353" t="s">
        <v>794</v>
      </c>
      <c r="D353" t="s">
        <v>795</v>
      </c>
      <c r="E353" t="s">
        <v>796</v>
      </c>
      <c r="F353" t="s">
        <v>797</v>
      </c>
      <c r="G353" t="s">
        <v>804</v>
      </c>
      <c r="H353">
        <v>135360</v>
      </c>
      <c r="I353">
        <v>126027.55</v>
      </c>
      <c r="J353" t="s">
        <v>18</v>
      </c>
      <c r="K353" t="s">
        <v>27</v>
      </c>
    </row>
    <row r="354" spans="1:11" x14ac:dyDescent="0.25">
      <c r="A354" t="s">
        <v>805</v>
      </c>
      <c r="B354" t="s">
        <v>32</v>
      </c>
      <c r="C354" t="s">
        <v>794</v>
      </c>
      <c r="D354" t="s">
        <v>795</v>
      </c>
      <c r="E354" t="s">
        <v>796</v>
      </c>
      <c r="F354" t="s">
        <v>797</v>
      </c>
      <c r="G354" t="s">
        <v>806</v>
      </c>
      <c r="H354">
        <v>186120</v>
      </c>
      <c r="I354">
        <v>169922.39</v>
      </c>
      <c r="J354" t="s">
        <v>18</v>
      </c>
      <c r="K354" t="s">
        <v>19</v>
      </c>
    </row>
    <row r="355" spans="1:11" x14ac:dyDescent="0.25">
      <c r="A355" t="s">
        <v>807</v>
      </c>
      <c r="B355" t="s">
        <v>35</v>
      </c>
      <c r="C355" t="s">
        <v>794</v>
      </c>
      <c r="D355" t="s">
        <v>795</v>
      </c>
      <c r="E355" t="s">
        <v>796</v>
      </c>
      <c r="F355" t="s">
        <v>797</v>
      </c>
      <c r="G355" t="s">
        <v>808</v>
      </c>
      <c r="H355">
        <v>219960</v>
      </c>
      <c r="I355">
        <v>211166.86</v>
      </c>
      <c r="J355" t="s">
        <v>18</v>
      </c>
      <c r="K355" t="s">
        <v>19</v>
      </c>
    </row>
    <row r="356" spans="1:11" x14ac:dyDescent="0.25">
      <c r="A356" t="s">
        <v>809</v>
      </c>
      <c r="B356" t="s">
        <v>38</v>
      </c>
      <c r="C356" t="s">
        <v>794</v>
      </c>
      <c r="D356" t="s">
        <v>795</v>
      </c>
      <c r="E356" t="s">
        <v>796</v>
      </c>
      <c r="F356" t="s">
        <v>797</v>
      </c>
      <c r="G356" t="s">
        <v>810</v>
      </c>
      <c r="H356">
        <v>219960</v>
      </c>
      <c r="I356">
        <v>212541.14</v>
      </c>
      <c r="J356" t="s">
        <v>18</v>
      </c>
      <c r="K356" t="s">
        <v>23</v>
      </c>
    </row>
    <row r="357" spans="1:11" x14ac:dyDescent="0.25">
      <c r="A357" t="s">
        <v>811</v>
      </c>
      <c r="B357" t="s">
        <v>42</v>
      </c>
      <c r="C357" t="s">
        <v>794</v>
      </c>
      <c r="D357" t="s">
        <v>795</v>
      </c>
      <c r="E357" t="s">
        <v>796</v>
      </c>
      <c r="F357" t="s">
        <v>797</v>
      </c>
      <c r="G357" t="s">
        <v>812</v>
      </c>
      <c r="H357">
        <v>203040</v>
      </c>
      <c r="I357">
        <v>217767.01</v>
      </c>
      <c r="J357" t="s">
        <v>18</v>
      </c>
      <c r="K357" t="s">
        <v>19</v>
      </c>
    </row>
    <row r="358" spans="1:11" x14ac:dyDescent="0.25">
      <c r="A358" t="s">
        <v>813</v>
      </c>
      <c r="B358" t="s">
        <v>45</v>
      </c>
      <c r="C358" t="s">
        <v>794</v>
      </c>
      <c r="D358" t="s">
        <v>795</v>
      </c>
      <c r="E358" t="s">
        <v>796</v>
      </c>
      <c r="F358" t="s">
        <v>797</v>
      </c>
      <c r="G358" t="s">
        <v>814</v>
      </c>
      <c r="H358">
        <v>186120</v>
      </c>
      <c r="I358">
        <v>183944.28</v>
      </c>
      <c r="J358" t="s">
        <v>18</v>
      </c>
      <c r="K358" t="s">
        <v>27</v>
      </c>
    </row>
    <row r="359" spans="1:11" x14ac:dyDescent="0.25">
      <c r="A359" t="s">
        <v>815</v>
      </c>
      <c r="B359" t="s">
        <v>48</v>
      </c>
      <c r="C359" t="s">
        <v>794</v>
      </c>
      <c r="D359" t="s">
        <v>795</v>
      </c>
      <c r="E359" t="s">
        <v>796</v>
      </c>
      <c r="F359" t="s">
        <v>797</v>
      </c>
      <c r="G359" t="s">
        <v>816</v>
      </c>
      <c r="H359">
        <v>135360</v>
      </c>
      <c r="I359">
        <v>0</v>
      </c>
      <c r="J359" t="s">
        <v>50</v>
      </c>
      <c r="K359" t="s">
        <v>40</v>
      </c>
    </row>
    <row r="360" spans="1:11" x14ac:dyDescent="0.25">
      <c r="A360" t="s">
        <v>817</v>
      </c>
      <c r="B360" t="s">
        <v>52</v>
      </c>
      <c r="C360" t="s">
        <v>794</v>
      </c>
      <c r="D360" t="s">
        <v>795</v>
      </c>
      <c r="E360" t="s">
        <v>796</v>
      </c>
      <c r="F360" t="s">
        <v>797</v>
      </c>
      <c r="G360" t="s">
        <v>818</v>
      </c>
      <c r="H360">
        <v>101520</v>
      </c>
      <c r="I360">
        <v>0</v>
      </c>
      <c r="J360" t="s">
        <v>50</v>
      </c>
      <c r="K360" t="s">
        <v>27</v>
      </c>
    </row>
    <row r="361" spans="1:11" x14ac:dyDescent="0.25">
      <c r="A361" t="s">
        <v>819</v>
      </c>
      <c r="B361" t="s">
        <v>55</v>
      </c>
      <c r="C361" t="s">
        <v>794</v>
      </c>
      <c r="D361" t="s">
        <v>795</v>
      </c>
      <c r="E361" t="s">
        <v>796</v>
      </c>
      <c r="F361" t="s">
        <v>797</v>
      </c>
      <c r="G361" t="s">
        <v>820</v>
      </c>
      <c r="H361">
        <v>67680</v>
      </c>
      <c r="I361">
        <v>0</v>
      </c>
      <c r="J361" t="s">
        <v>50</v>
      </c>
      <c r="K361" t="s">
        <v>40</v>
      </c>
    </row>
    <row r="362" spans="1:11" x14ac:dyDescent="0.25">
      <c r="A362" t="s">
        <v>821</v>
      </c>
      <c r="B362" t="s">
        <v>12</v>
      </c>
      <c r="C362" t="s">
        <v>794</v>
      </c>
      <c r="D362" t="s">
        <v>822</v>
      </c>
      <c r="E362" t="s">
        <v>823</v>
      </c>
      <c r="F362" t="s">
        <v>824</v>
      </c>
      <c r="G362" t="s">
        <v>825</v>
      </c>
      <c r="H362">
        <v>52680</v>
      </c>
      <c r="I362">
        <v>51520.69</v>
      </c>
      <c r="J362" t="s">
        <v>18</v>
      </c>
      <c r="K362" t="s">
        <v>23</v>
      </c>
    </row>
    <row r="363" spans="1:11" x14ac:dyDescent="0.25">
      <c r="A363" t="s">
        <v>826</v>
      </c>
      <c r="B363" t="s">
        <v>21</v>
      </c>
      <c r="C363" t="s">
        <v>794</v>
      </c>
      <c r="D363" t="s">
        <v>822</v>
      </c>
      <c r="E363" t="s">
        <v>823</v>
      </c>
      <c r="F363" t="s">
        <v>824</v>
      </c>
      <c r="G363" t="s">
        <v>827</v>
      </c>
      <c r="H363">
        <v>87800</v>
      </c>
      <c r="I363">
        <v>89957.84</v>
      </c>
      <c r="J363" t="s">
        <v>18</v>
      </c>
      <c r="K363" t="s">
        <v>19</v>
      </c>
    </row>
    <row r="364" spans="1:11" x14ac:dyDescent="0.25">
      <c r="A364" t="s">
        <v>828</v>
      </c>
      <c r="B364" t="s">
        <v>25</v>
      </c>
      <c r="C364" t="s">
        <v>794</v>
      </c>
      <c r="D364" t="s">
        <v>822</v>
      </c>
      <c r="E364" t="s">
        <v>823</v>
      </c>
      <c r="F364" t="s">
        <v>824</v>
      </c>
      <c r="G364" t="s">
        <v>829</v>
      </c>
      <c r="H364">
        <v>105360</v>
      </c>
      <c r="I364">
        <v>106068.71</v>
      </c>
      <c r="J364" t="s">
        <v>18</v>
      </c>
      <c r="K364" t="s">
        <v>23</v>
      </c>
    </row>
    <row r="365" spans="1:11" x14ac:dyDescent="0.25">
      <c r="A365" t="s">
        <v>830</v>
      </c>
      <c r="B365" t="s">
        <v>29</v>
      </c>
      <c r="C365" t="s">
        <v>794</v>
      </c>
      <c r="D365" t="s">
        <v>822</v>
      </c>
      <c r="E365" t="s">
        <v>823</v>
      </c>
      <c r="F365" t="s">
        <v>824</v>
      </c>
      <c r="G365" t="s">
        <v>831</v>
      </c>
      <c r="H365">
        <v>140480</v>
      </c>
      <c r="I365">
        <v>135946.93</v>
      </c>
      <c r="J365" t="s">
        <v>18</v>
      </c>
      <c r="K365" t="s">
        <v>27</v>
      </c>
    </row>
    <row r="366" spans="1:11" x14ac:dyDescent="0.25">
      <c r="A366" t="s">
        <v>832</v>
      </c>
      <c r="B366" t="s">
        <v>32</v>
      </c>
      <c r="C366" t="s">
        <v>794</v>
      </c>
      <c r="D366" t="s">
        <v>822</v>
      </c>
      <c r="E366" t="s">
        <v>823</v>
      </c>
      <c r="F366" t="s">
        <v>824</v>
      </c>
      <c r="G366" t="s">
        <v>833</v>
      </c>
      <c r="H366">
        <v>193160</v>
      </c>
      <c r="I366">
        <v>184664.29</v>
      </c>
      <c r="J366" t="s">
        <v>18</v>
      </c>
      <c r="K366" t="s">
        <v>40</v>
      </c>
    </row>
    <row r="367" spans="1:11" x14ac:dyDescent="0.25">
      <c r="A367" t="s">
        <v>834</v>
      </c>
      <c r="B367" t="s">
        <v>35</v>
      </c>
      <c r="C367" t="s">
        <v>794</v>
      </c>
      <c r="D367" t="s">
        <v>822</v>
      </c>
      <c r="E367" t="s">
        <v>823</v>
      </c>
      <c r="F367" t="s">
        <v>824</v>
      </c>
      <c r="G367" t="s">
        <v>835</v>
      </c>
      <c r="H367">
        <v>228280</v>
      </c>
      <c r="I367">
        <v>222960.87</v>
      </c>
      <c r="J367" t="s">
        <v>18</v>
      </c>
      <c r="K367" t="s">
        <v>19</v>
      </c>
    </row>
    <row r="368" spans="1:11" x14ac:dyDescent="0.25">
      <c r="A368" t="s">
        <v>836</v>
      </c>
      <c r="B368" t="s">
        <v>38</v>
      </c>
      <c r="C368" t="s">
        <v>794</v>
      </c>
      <c r="D368" t="s">
        <v>822</v>
      </c>
      <c r="E368" t="s">
        <v>823</v>
      </c>
      <c r="F368" t="s">
        <v>824</v>
      </c>
      <c r="G368" t="s">
        <v>837</v>
      </c>
      <c r="H368">
        <v>228280</v>
      </c>
      <c r="I368">
        <v>213962.7</v>
      </c>
      <c r="J368" t="s">
        <v>18</v>
      </c>
      <c r="K368" t="s">
        <v>40</v>
      </c>
    </row>
    <row r="369" spans="1:11" x14ac:dyDescent="0.25">
      <c r="A369" t="s">
        <v>838</v>
      </c>
      <c r="B369" t="s">
        <v>42</v>
      </c>
      <c r="C369" t="s">
        <v>794</v>
      </c>
      <c r="D369" t="s">
        <v>822</v>
      </c>
      <c r="E369" t="s">
        <v>823</v>
      </c>
      <c r="F369" t="s">
        <v>824</v>
      </c>
      <c r="G369" t="s">
        <v>839</v>
      </c>
      <c r="H369">
        <v>210720</v>
      </c>
      <c r="I369">
        <v>218069.31</v>
      </c>
      <c r="J369" t="s">
        <v>18</v>
      </c>
      <c r="K369" t="s">
        <v>27</v>
      </c>
    </row>
    <row r="370" spans="1:11" x14ac:dyDescent="0.25">
      <c r="A370" t="s">
        <v>840</v>
      </c>
      <c r="B370" t="s">
        <v>45</v>
      </c>
      <c r="C370" t="s">
        <v>794</v>
      </c>
      <c r="D370" t="s">
        <v>822</v>
      </c>
      <c r="E370" t="s">
        <v>823</v>
      </c>
      <c r="F370" t="s">
        <v>824</v>
      </c>
      <c r="G370" t="s">
        <v>841</v>
      </c>
      <c r="H370">
        <v>193160</v>
      </c>
      <c r="I370">
        <v>192736.72</v>
      </c>
      <c r="J370" t="s">
        <v>18</v>
      </c>
      <c r="K370" t="s">
        <v>19</v>
      </c>
    </row>
    <row r="371" spans="1:11" x14ac:dyDescent="0.25">
      <c r="A371" t="s">
        <v>842</v>
      </c>
      <c r="B371" t="s">
        <v>48</v>
      </c>
      <c r="C371" t="s">
        <v>794</v>
      </c>
      <c r="D371" t="s">
        <v>822</v>
      </c>
      <c r="E371" t="s">
        <v>823</v>
      </c>
      <c r="F371" t="s">
        <v>824</v>
      </c>
      <c r="G371" t="s">
        <v>843</v>
      </c>
      <c r="H371">
        <v>140480</v>
      </c>
      <c r="I371">
        <v>0</v>
      </c>
      <c r="J371" t="s">
        <v>50</v>
      </c>
      <c r="K371" t="s">
        <v>19</v>
      </c>
    </row>
    <row r="372" spans="1:11" x14ac:dyDescent="0.25">
      <c r="A372" t="s">
        <v>844</v>
      </c>
      <c r="B372" t="s">
        <v>52</v>
      </c>
      <c r="C372" t="s">
        <v>794</v>
      </c>
      <c r="D372" t="s">
        <v>822</v>
      </c>
      <c r="E372" t="s">
        <v>823</v>
      </c>
      <c r="F372" t="s">
        <v>824</v>
      </c>
      <c r="G372" t="s">
        <v>845</v>
      </c>
      <c r="H372">
        <v>105360</v>
      </c>
      <c r="I372">
        <v>0</v>
      </c>
      <c r="J372" t="s">
        <v>50</v>
      </c>
      <c r="K372" t="s">
        <v>40</v>
      </c>
    </row>
    <row r="373" spans="1:11" x14ac:dyDescent="0.25">
      <c r="A373" t="s">
        <v>846</v>
      </c>
      <c r="B373" t="s">
        <v>55</v>
      </c>
      <c r="C373" t="s">
        <v>794</v>
      </c>
      <c r="D373" t="s">
        <v>822</v>
      </c>
      <c r="E373" t="s">
        <v>823</v>
      </c>
      <c r="F373" t="s">
        <v>824</v>
      </c>
      <c r="G373" t="s">
        <v>847</v>
      </c>
      <c r="H373">
        <v>70240</v>
      </c>
      <c r="I373">
        <v>0</v>
      </c>
      <c r="J373" t="s">
        <v>50</v>
      </c>
      <c r="K373" t="s">
        <v>23</v>
      </c>
    </row>
    <row r="374" spans="1:11" x14ac:dyDescent="0.25">
      <c r="A374" t="s">
        <v>848</v>
      </c>
      <c r="B374" t="s">
        <v>12</v>
      </c>
      <c r="C374" t="s">
        <v>794</v>
      </c>
      <c r="D374" t="s">
        <v>849</v>
      </c>
      <c r="E374" t="s">
        <v>850</v>
      </c>
      <c r="F374" t="s">
        <v>851</v>
      </c>
      <c r="G374" t="s">
        <v>852</v>
      </c>
      <c r="H374">
        <v>157830</v>
      </c>
      <c r="I374">
        <v>150165.67000000001</v>
      </c>
      <c r="J374" t="s">
        <v>18</v>
      </c>
      <c r="K374" t="s">
        <v>19</v>
      </c>
    </row>
    <row r="375" spans="1:11" x14ac:dyDescent="0.25">
      <c r="A375" t="s">
        <v>853</v>
      </c>
      <c r="B375" t="s">
        <v>21</v>
      </c>
      <c r="C375" t="s">
        <v>794</v>
      </c>
      <c r="D375" t="s">
        <v>849</v>
      </c>
      <c r="E375" t="s">
        <v>850</v>
      </c>
      <c r="F375" t="s">
        <v>851</v>
      </c>
      <c r="G375" t="s">
        <v>854</v>
      </c>
      <c r="H375">
        <v>263050</v>
      </c>
      <c r="I375">
        <v>247891.77</v>
      </c>
      <c r="J375" t="s">
        <v>18</v>
      </c>
      <c r="K375" t="s">
        <v>23</v>
      </c>
    </row>
    <row r="376" spans="1:11" x14ac:dyDescent="0.25">
      <c r="A376" t="s">
        <v>855</v>
      </c>
      <c r="B376" t="s">
        <v>25</v>
      </c>
      <c r="C376" t="s">
        <v>794</v>
      </c>
      <c r="D376" t="s">
        <v>849</v>
      </c>
      <c r="E376" t="s">
        <v>850</v>
      </c>
      <c r="F376" t="s">
        <v>851</v>
      </c>
      <c r="G376" t="s">
        <v>856</v>
      </c>
      <c r="H376">
        <v>315660</v>
      </c>
      <c r="I376">
        <v>296306.96999999997</v>
      </c>
      <c r="J376" t="s">
        <v>18</v>
      </c>
      <c r="K376" t="s">
        <v>23</v>
      </c>
    </row>
    <row r="377" spans="1:11" x14ac:dyDescent="0.25">
      <c r="A377" t="s">
        <v>857</v>
      </c>
      <c r="B377" t="s">
        <v>29</v>
      </c>
      <c r="C377" t="s">
        <v>794</v>
      </c>
      <c r="D377" t="s">
        <v>849</v>
      </c>
      <c r="E377" t="s">
        <v>850</v>
      </c>
      <c r="F377" t="s">
        <v>851</v>
      </c>
      <c r="G377" t="s">
        <v>858</v>
      </c>
      <c r="H377">
        <v>420880</v>
      </c>
      <c r="I377">
        <v>386492.06</v>
      </c>
      <c r="J377" t="s">
        <v>18</v>
      </c>
      <c r="K377" t="s">
        <v>19</v>
      </c>
    </row>
    <row r="378" spans="1:11" x14ac:dyDescent="0.25">
      <c r="A378" t="s">
        <v>859</v>
      </c>
      <c r="B378" t="s">
        <v>32</v>
      </c>
      <c r="C378" t="s">
        <v>794</v>
      </c>
      <c r="D378" t="s">
        <v>849</v>
      </c>
      <c r="E378" t="s">
        <v>850</v>
      </c>
      <c r="F378" t="s">
        <v>851</v>
      </c>
      <c r="G378" t="s">
        <v>860</v>
      </c>
      <c r="H378">
        <v>578710</v>
      </c>
      <c r="I378">
        <v>566592.81000000006</v>
      </c>
      <c r="J378" t="s">
        <v>18</v>
      </c>
      <c r="K378" t="s">
        <v>27</v>
      </c>
    </row>
    <row r="379" spans="1:11" x14ac:dyDescent="0.25">
      <c r="A379" t="s">
        <v>861</v>
      </c>
      <c r="B379" t="s">
        <v>35</v>
      </c>
      <c r="C379" t="s">
        <v>794</v>
      </c>
      <c r="D379" t="s">
        <v>849</v>
      </c>
      <c r="E379" t="s">
        <v>850</v>
      </c>
      <c r="F379" t="s">
        <v>851</v>
      </c>
      <c r="G379" t="s">
        <v>862</v>
      </c>
      <c r="H379">
        <v>683930</v>
      </c>
      <c r="I379">
        <v>687122.48</v>
      </c>
      <c r="J379" t="s">
        <v>18</v>
      </c>
      <c r="K379" t="s">
        <v>23</v>
      </c>
    </row>
    <row r="380" spans="1:11" x14ac:dyDescent="0.25">
      <c r="A380" t="s">
        <v>863</v>
      </c>
      <c r="B380" t="s">
        <v>38</v>
      </c>
      <c r="C380" t="s">
        <v>794</v>
      </c>
      <c r="D380" t="s">
        <v>849</v>
      </c>
      <c r="E380" t="s">
        <v>850</v>
      </c>
      <c r="F380" t="s">
        <v>851</v>
      </c>
      <c r="G380" t="s">
        <v>864</v>
      </c>
      <c r="H380">
        <v>683930</v>
      </c>
      <c r="I380">
        <v>655926.61</v>
      </c>
      <c r="J380" t="s">
        <v>18</v>
      </c>
      <c r="K380" t="s">
        <v>23</v>
      </c>
    </row>
    <row r="381" spans="1:11" x14ac:dyDescent="0.25">
      <c r="A381" t="s">
        <v>865</v>
      </c>
      <c r="B381" t="s">
        <v>42</v>
      </c>
      <c r="C381" t="s">
        <v>794</v>
      </c>
      <c r="D381" t="s">
        <v>849</v>
      </c>
      <c r="E381" t="s">
        <v>850</v>
      </c>
      <c r="F381" t="s">
        <v>851</v>
      </c>
      <c r="G381" t="s">
        <v>866</v>
      </c>
      <c r="H381">
        <v>631320</v>
      </c>
      <c r="I381">
        <v>636226.99</v>
      </c>
      <c r="J381" t="s">
        <v>18</v>
      </c>
      <c r="K381" t="s">
        <v>27</v>
      </c>
    </row>
    <row r="382" spans="1:11" x14ac:dyDescent="0.25">
      <c r="A382" t="s">
        <v>867</v>
      </c>
      <c r="B382" t="s">
        <v>45</v>
      </c>
      <c r="C382" t="s">
        <v>794</v>
      </c>
      <c r="D382" t="s">
        <v>849</v>
      </c>
      <c r="E382" t="s">
        <v>850</v>
      </c>
      <c r="F382" t="s">
        <v>851</v>
      </c>
      <c r="G382" t="s">
        <v>868</v>
      </c>
      <c r="H382">
        <v>578710</v>
      </c>
      <c r="I382">
        <v>562455.03</v>
      </c>
      <c r="J382" t="s">
        <v>18</v>
      </c>
      <c r="K382" t="s">
        <v>19</v>
      </c>
    </row>
    <row r="383" spans="1:11" x14ac:dyDescent="0.25">
      <c r="A383" t="s">
        <v>869</v>
      </c>
      <c r="B383" t="s">
        <v>48</v>
      </c>
      <c r="C383" t="s">
        <v>794</v>
      </c>
      <c r="D383" t="s">
        <v>849</v>
      </c>
      <c r="E383" t="s">
        <v>850</v>
      </c>
      <c r="F383" t="s">
        <v>851</v>
      </c>
      <c r="G383" t="s">
        <v>870</v>
      </c>
      <c r="H383">
        <v>420880</v>
      </c>
      <c r="I383">
        <v>0</v>
      </c>
      <c r="J383" t="s">
        <v>50</v>
      </c>
      <c r="K383" t="s">
        <v>19</v>
      </c>
    </row>
    <row r="384" spans="1:11" x14ac:dyDescent="0.25">
      <c r="A384" t="s">
        <v>871</v>
      </c>
      <c r="B384" t="s">
        <v>52</v>
      </c>
      <c r="C384" t="s">
        <v>794</v>
      </c>
      <c r="D384" t="s">
        <v>849</v>
      </c>
      <c r="E384" t="s">
        <v>850</v>
      </c>
      <c r="F384" t="s">
        <v>851</v>
      </c>
      <c r="G384" t="s">
        <v>872</v>
      </c>
      <c r="H384">
        <v>315660</v>
      </c>
      <c r="I384">
        <v>0</v>
      </c>
      <c r="J384" t="s">
        <v>50</v>
      </c>
      <c r="K384" t="s">
        <v>19</v>
      </c>
    </row>
    <row r="385" spans="1:11" x14ac:dyDescent="0.25">
      <c r="A385" t="s">
        <v>873</v>
      </c>
      <c r="B385" t="s">
        <v>55</v>
      </c>
      <c r="C385" t="s">
        <v>794</v>
      </c>
      <c r="D385" t="s">
        <v>849</v>
      </c>
      <c r="E385" t="s">
        <v>850</v>
      </c>
      <c r="F385" t="s">
        <v>851</v>
      </c>
      <c r="G385" t="s">
        <v>874</v>
      </c>
      <c r="H385">
        <v>210440</v>
      </c>
      <c r="I385">
        <v>0</v>
      </c>
      <c r="J385" t="s">
        <v>50</v>
      </c>
      <c r="K385" t="s">
        <v>40</v>
      </c>
    </row>
    <row r="386" spans="1:11" x14ac:dyDescent="0.25">
      <c r="A386" t="s">
        <v>875</v>
      </c>
      <c r="B386" t="s">
        <v>12</v>
      </c>
      <c r="C386" t="s">
        <v>794</v>
      </c>
      <c r="D386" t="s">
        <v>876</v>
      </c>
      <c r="E386" t="s">
        <v>877</v>
      </c>
      <c r="F386" t="s">
        <v>851</v>
      </c>
      <c r="G386" t="s">
        <v>878</v>
      </c>
      <c r="H386">
        <v>100650</v>
      </c>
      <c r="I386">
        <v>100382.99</v>
      </c>
      <c r="J386" t="s">
        <v>18</v>
      </c>
      <c r="K386" t="s">
        <v>40</v>
      </c>
    </row>
    <row r="387" spans="1:11" x14ac:dyDescent="0.25">
      <c r="A387" t="s">
        <v>879</v>
      </c>
      <c r="B387" t="s">
        <v>21</v>
      </c>
      <c r="C387" t="s">
        <v>794</v>
      </c>
      <c r="D387" t="s">
        <v>876</v>
      </c>
      <c r="E387" t="s">
        <v>877</v>
      </c>
      <c r="F387" t="s">
        <v>851</v>
      </c>
      <c r="G387" t="s">
        <v>880</v>
      </c>
      <c r="H387">
        <v>167750</v>
      </c>
      <c r="I387">
        <v>159022.6</v>
      </c>
      <c r="J387" t="s">
        <v>18</v>
      </c>
      <c r="K387" t="s">
        <v>27</v>
      </c>
    </row>
    <row r="388" spans="1:11" x14ac:dyDescent="0.25">
      <c r="A388" t="s">
        <v>881</v>
      </c>
      <c r="B388" t="s">
        <v>25</v>
      </c>
      <c r="C388" t="s">
        <v>794</v>
      </c>
      <c r="D388" t="s">
        <v>876</v>
      </c>
      <c r="E388" t="s">
        <v>877</v>
      </c>
      <c r="F388" t="s">
        <v>851</v>
      </c>
      <c r="G388" t="s">
        <v>882</v>
      </c>
      <c r="H388">
        <v>201300</v>
      </c>
      <c r="I388">
        <v>196635.63</v>
      </c>
      <c r="J388" t="s">
        <v>18</v>
      </c>
      <c r="K388" t="s">
        <v>23</v>
      </c>
    </row>
    <row r="389" spans="1:11" x14ac:dyDescent="0.25">
      <c r="A389" t="s">
        <v>883</v>
      </c>
      <c r="B389" t="s">
        <v>29</v>
      </c>
      <c r="C389" t="s">
        <v>794</v>
      </c>
      <c r="D389" t="s">
        <v>876</v>
      </c>
      <c r="E389" t="s">
        <v>877</v>
      </c>
      <c r="F389" t="s">
        <v>851</v>
      </c>
      <c r="G389" t="s">
        <v>884</v>
      </c>
      <c r="H389">
        <v>268400</v>
      </c>
      <c r="I389">
        <v>255713.02</v>
      </c>
      <c r="J389" t="s">
        <v>18</v>
      </c>
      <c r="K389" t="s">
        <v>19</v>
      </c>
    </row>
    <row r="390" spans="1:11" x14ac:dyDescent="0.25">
      <c r="A390" t="s">
        <v>885</v>
      </c>
      <c r="B390" t="s">
        <v>32</v>
      </c>
      <c r="C390" t="s">
        <v>794</v>
      </c>
      <c r="D390" t="s">
        <v>876</v>
      </c>
      <c r="E390" t="s">
        <v>877</v>
      </c>
      <c r="F390" t="s">
        <v>851</v>
      </c>
      <c r="G390" t="s">
        <v>886</v>
      </c>
      <c r="H390">
        <v>369050</v>
      </c>
      <c r="I390">
        <v>352962.24</v>
      </c>
      <c r="J390" t="s">
        <v>18</v>
      </c>
      <c r="K390" t="s">
        <v>27</v>
      </c>
    </row>
    <row r="391" spans="1:11" x14ac:dyDescent="0.25">
      <c r="A391" t="s">
        <v>887</v>
      </c>
      <c r="B391" t="s">
        <v>35</v>
      </c>
      <c r="C391" t="s">
        <v>794</v>
      </c>
      <c r="D391" t="s">
        <v>876</v>
      </c>
      <c r="E391" t="s">
        <v>877</v>
      </c>
      <c r="F391" t="s">
        <v>851</v>
      </c>
      <c r="G391" t="s">
        <v>888</v>
      </c>
      <c r="H391">
        <v>436150</v>
      </c>
      <c r="I391">
        <v>435241.46</v>
      </c>
      <c r="J391" t="s">
        <v>18</v>
      </c>
      <c r="K391" t="s">
        <v>40</v>
      </c>
    </row>
    <row r="392" spans="1:11" x14ac:dyDescent="0.25">
      <c r="A392" t="s">
        <v>889</v>
      </c>
      <c r="B392" t="s">
        <v>38</v>
      </c>
      <c r="C392" t="s">
        <v>794</v>
      </c>
      <c r="D392" t="s">
        <v>876</v>
      </c>
      <c r="E392" t="s">
        <v>877</v>
      </c>
      <c r="F392" t="s">
        <v>851</v>
      </c>
      <c r="G392" t="s">
        <v>890</v>
      </c>
      <c r="H392">
        <v>436150</v>
      </c>
      <c r="I392">
        <v>400306.19</v>
      </c>
      <c r="J392" t="s">
        <v>18</v>
      </c>
      <c r="K392" t="s">
        <v>27</v>
      </c>
    </row>
    <row r="393" spans="1:11" x14ac:dyDescent="0.25">
      <c r="A393" t="s">
        <v>891</v>
      </c>
      <c r="B393" t="s">
        <v>42</v>
      </c>
      <c r="C393" t="s">
        <v>794</v>
      </c>
      <c r="D393" t="s">
        <v>876</v>
      </c>
      <c r="E393" t="s">
        <v>877</v>
      </c>
      <c r="F393" t="s">
        <v>851</v>
      </c>
      <c r="G393" t="s">
        <v>892</v>
      </c>
      <c r="H393">
        <v>402600</v>
      </c>
      <c r="I393">
        <v>417429.5</v>
      </c>
      <c r="J393" t="s">
        <v>18</v>
      </c>
      <c r="K393" t="s">
        <v>27</v>
      </c>
    </row>
    <row r="394" spans="1:11" x14ac:dyDescent="0.25">
      <c r="A394" t="s">
        <v>893</v>
      </c>
      <c r="B394" t="s">
        <v>45</v>
      </c>
      <c r="C394" t="s">
        <v>794</v>
      </c>
      <c r="D394" t="s">
        <v>876</v>
      </c>
      <c r="E394" t="s">
        <v>877</v>
      </c>
      <c r="F394" t="s">
        <v>851</v>
      </c>
      <c r="G394" t="s">
        <v>894</v>
      </c>
      <c r="H394">
        <v>369050</v>
      </c>
      <c r="I394">
        <v>363503.18</v>
      </c>
      <c r="J394" t="s">
        <v>18</v>
      </c>
      <c r="K394" t="s">
        <v>23</v>
      </c>
    </row>
    <row r="395" spans="1:11" x14ac:dyDescent="0.25">
      <c r="A395" t="s">
        <v>895</v>
      </c>
      <c r="B395" t="s">
        <v>48</v>
      </c>
      <c r="C395" t="s">
        <v>794</v>
      </c>
      <c r="D395" t="s">
        <v>876</v>
      </c>
      <c r="E395" t="s">
        <v>877</v>
      </c>
      <c r="F395" t="s">
        <v>851</v>
      </c>
      <c r="G395" t="s">
        <v>896</v>
      </c>
      <c r="H395">
        <v>268400</v>
      </c>
      <c r="I395">
        <v>0</v>
      </c>
      <c r="J395" t="s">
        <v>50</v>
      </c>
      <c r="K395" t="s">
        <v>19</v>
      </c>
    </row>
    <row r="396" spans="1:11" x14ac:dyDescent="0.25">
      <c r="A396" t="s">
        <v>897</v>
      </c>
      <c r="B396" t="s">
        <v>52</v>
      </c>
      <c r="C396" t="s">
        <v>794</v>
      </c>
      <c r="D396" t="s">
        <v>876</v>
      </c>
      <c r="E396" t="s">
        <v>877</v>
      </c>
      <c r="F396" t="s">
        <v>851</v>
      </c>
      <c r="G396" t="s">
        <v>898</v>
      </c>
      <c r="H396">
        <v>201300</v>
      </c>
      <c r="I396">
        <v>0</v>
      </c>
      <c r="J396" t="s">
        <v>50</v>
      </c>
      <c r="K396" t="s">
        <v>40</v>
      </c>
    </row>
    <row r="397" spans="1:11" x14ac:dyDescent="0.25">
      <c r="A397" t="s">
        <v>899</v>
      </c>
      <c r="B397" t="s">
        <v>55</v>
      </c>
      <c r="C397" t="s">
        <v>794</v>
      </c>
      <c r="D397" t="s">
        <v>876</v>
      </c>
      <c r="E397" t="s">
        <v>877</v>
      </c>
      <c r="F397" t="s">
        <v>851</v>
      </c>
      <c r="G397" t="s">
        <v>900</v>
      </c>
      <c r="H397">
        <v>134200</v>
      </c>
      <c r="I397">
        <v>0</v>
      </c>
      <c r="J397" t="s">
        <v>50</v>
      </c>
      <c r="K397" t="s">
        <v>40</v>
      </c>
    </row>
    <row r="398" spans="1:11" x14ac:dyDescent="0.25">
      <c r="A398" t="s">
        <v>901</v>
      </c>
      <c r="B398" t="s">
        <v>12</v>
      </c>
      <c r="C398" t="s">
        <v>794</v>
      </c>
      <c r="D398" t="s">
        <v>902</v>
      </c>
      <c r="E398" t="s">
        <v>903</v>
      </c>
      <c r="F398" t="s">
        <v>851</v>
      </c>
      <c r="G398" t="s">
        <v>904</v>
      </c>
      <c r="H398">
        <v>55920</v>
      </c>
      <c r="I398">
        <v>55937.54</v>
      </c>
      <c r="J398" t="s">
        <v>18</v>
      </c>
      <c r="K398" t="s">
        <v>27</v>
      </c>
    </row>
    <row r="399" spans="1:11" x14ac:dyDescent="0.25">
      <c r="A399" t="s">
        <v>905</v>
      </c>
      <c r="B399" t="s">
        <v>21</v>
      </c>
      <c r="C399" t="s">
        <v>794</v>
      </c>
      <c r="D399" t="s">
        <v>902</v>
      </c>
      <c r="E399" t="s">
        <v>903</v>
      </c>
      <c r="F399" t="s">
        <v>851</v>
      </c>
      <c r="G399" t="s">
        <v>906</v>
      </c>
      <c r="H399">
        <v>93200</v>
      </c>
      <c r="I399">
        <v>94592.04</v>
      </c>
      <c r="J399" t="s">
        <v>18</v>
      </c>
      <c r="K399" t="s">
        <v>40</v>
      </c>
    </row>
    <row r="400" spans="1:11" x14ac:dyDescent="0.25">
      <c r="A400" t="s">
        <v>907</v>
      </c>
      <c r="B400" t="s">
        <v>25</v>
      </c>
      <c r="C400" t="s">
        <v>794</v>
      </c>
      <c r="D400" t="s">
        <v>902</v>
      </c>
      <c r="E400" t="s">
        <v>903</v>
      </c>
      <c r="F400" t="s">
        <v>851</v>
      </c>
      <c r="G400" t="s">
        <v>908</v>
      </c>
      <c r="H400">
        <v>111840</v>
      </c>
      <c r="I400">
        <v>111721.25</v>
      </c>
      <c r="J400" t="s">
        <v>18</v>
      </c>
      <c r="K400" t="s">
        <v>19</v>
      </c>
    </row>
    <row r="401" spans="1:11" x14ac:dyDescent="0.25">
      <c r="A401" t="s">
        <v>909</v>
      </c>
      <c r="B401" t="s">
        <v>29</v>
      </c>
      <c r="C401" t="s">
        <v>794</v>
      </c>
      <c r="D401" t="s">
        <v>902</v>
      </c>
      <c r="E401" t="s">
        <v>903</v>
      </c>
      <c r="F401" t="s">
        <v>851</v>
      </c>
      <c r="G401" t="s">
        <v>910</v>
      </c>
      <c r="H401">
        <v>149120</v>
      </c>
      <c r="I401">
        <v>138690.17000000001</v>
      </c>
      <c r="J401" t="s">
        <v>18</v>
      </c>
      <c r="K401" t="s">
        <v>40</v>
      </c>
    </row>
    <row r="402" spans="1:11" x14ac:dyDescent="0.25">
      <c r="A402" t="s">
        <v>911</v>
      </c>
      <c r="B402" t="s">
        <v>32</v>
      </c>
      <c r="C402" t="s">
        <v>794</v>
      </c>
      <c r="D402" t="s">
        <v>902</v>
      </c>
      <c r="E402" t="s">
        <v>903</v>
      </c>
      <c r="F402" t="s">
        <v>851</v>
      </c>
      <c r="G402" t="s">
        <v>912</v>
      </c>
      <c r="H402">
        <v>205040</v>
      </c>
      <c r="I402">
        <v>185531.22</v>
      </c>
      <c r="J402" t="s">
        <v>18</v>
      </c>
      <c r="K402" t="s">
        <v>40</v>
      </c>
    </row>
    <row r="403" spans="1:11" x14ac:dyDescent="0.25">
      <c r="A403" t="s">
        <v>913</v>
      </c>
      <c r="B403" t="s">
        <v>35</v>
      </c>
      <c r="C403" t="s">
        <v>794</v>
      </c>
      <c r="D403" t="s">
        <v>902</v>
      </c>
      <c r="E403" t="s">
        <v>903</v>
      </c>
      <c r="F403" t="s">
        <v>851</v>
      </c>
      <c r="G403" t="s">
        <v>914</v>
      </c>
      <c r="H403">
        <v>242320</v>
      </c>
      <c r="I403">
        <v>241990.01</v>
      </c>
      <c r="J403" t="s">
        <v>18</v>
      </c>
      <c r="K403" t="s">
        <v>19</v>
      </c>
    </row>
    <row r="404" spans="1:11" x14ac:dyDescent="0.25">
      <c r="A404" t="s">
        <v>915</v>
      </c>
      <c r="B404" t="s">
        <v>38</v>
      </c>
      <c r="C404" t="s">
        <v>794</v>
      </c>
      <c r="D404" t="s">
        <v>902</v>
      </c>
      <c r="E404" t="s">
        <v>903</v>
      </c>
      <c r="F404" t="s">
        <v>851</v>
      </c>
      <c r="G404" t="s">
        <v>916</v>
      </c>
      <c r="H404">
        <v>242320</v>
      </c>
      <c r="I404">
        <v>221967.71</v>
      </c>
      <c r="J404" t="s">
        <v>18</v>
      </c>
      <c r="K404" t="s">
        <v>40</v>
      </c>
    </row>
    <row r="405" spans="1:11" x14ac:dyDescent="0.25">
      <c r="A405" t="s">
        <v>917</v>
      </c>
      <c r="B405" t="s">
        <v>42</v>
      </c>
      <c r="C405" t="s">
        <v>794</v>
      </c>
      <c r="D405" t="s">
        <v>902</v>
      </c>
      <c r="E405" t="s">
        <v>903</v>
      </c>
      <c r="F405" t="s">
        <v>851</v>
      </c>
      <c r="G405" t="s">
        <v>918</v>
      </c>
      <c r="H405">
        <v>223680</v>
      </c>
      <c r="I405">
        <v>236878.56</v>
      </c>
      <c r="J405" t="s">
        <v>18</v>
      </c>
      <c r="K405" t="s">
        <v>27</v>
      </c>
    </row>
    <row r="406" spans="1:11" x14ac:dyDescent="0.25">
      <c r="A406" t="s">
        <v>919</v>
      </c>
      <c r="B406" t="s">
        <v>45</v>
      </c>
      <c r="C406" t="s">
        <v>794</v>
      </c>
      <c r="D406" t="s">
        <v>902</v>
      </c>
      <c r="E406" t="s">
        <v>903</v>
      </c>
      <c r="F406" t="s">
        <v>851</v>
      </c>
      <c r="G406" t="s">
        <v>920</v>
      </c>
      <c r="H406">
        <v>205040</v>
      </c>
      <c r="I406">
        <v>208228.3</v>
      </c>
      <c r="J406" t="s">
        <v>18</v>
      </c>
      <c r="K406" t="s">
        <v>27</v>
      </c>
    </row>
    <row r="407" spans="1:11" x14ac:dyDescent="0.25">
      <c r="A407" t="s">
        <v>921</v>
      </c>
      <c r="B407" t="s">
        <v>48</v>
      </c>
      <c r="C407" t="s">
        <v>794</v>
      </c>
      <c r="D407" t="s">
        <v>902</v>
      </c>
      <c r="E407" t="s">
        <v>903</v>
      </c>
      <c r="F407" t="s">
        <v>851</v>
      </c>
      <c r="G407" t="s">
        <v>922</v>
      </c>
      <c r="H407">
        <v>149120</v>
      </c>
      <c r="I407">
        <v>0</v>
      </c>
      <c r="J407" t="s">
        <v>50</v>
      </c>
      <c r="K407" t="s">
        <v>27</v>
      </c>
    </row>
    <row r="408" spans="1:11" x14ac:dyDescent="0.25">
      <c r="A408" t="s">
        <v>923</v>
      </c>
      <c r="B408" t="s">
        <v>52</v>
      </c>
      <c r="C408" t="s">
        <v>794</v>
      </c>
      <c r="D408" t="s">
        <v>902</v>
      </c>
      <c r="E408" t="s">
        <v>903</v>
      </c>
      <c r="F408" t="s">
        <v>851</v>
      </c>
      <c r="G408" t="s">
        <v>924</v>
      </c>
      <c r="H408">
        <v>111840</v>
      </c>
      <c r="I408">
        <v>0</v>
      </c>
      <c r="J408" t="s">
        <v>50</v>
      </c>
      <c r="K408" t="s">
        <v>27</v>
      </c>
    </row>
    <row r="409" spans="1:11" x14ac:dyDescent="0.25">
      <c r="A409" t="s">
        <v>925</v>
      </c>
      <c r="B409" t="s">
        <v>55</v>
      </c>
      <c r="C409" t="s">
        <v>794</v>
      </c>
      <c r="D409" t="s">
        <v>902</v>
      </c>
      <c r="E409" t="s">
        <v>903</v>
      </c>
      <c r="F409" t="s">
        <v>851</v>
      </c>
      <c r="G409" t="s">
        <v>926</v>
      </c>
      <c r="H409">
        <v>74560</v>
      </c>
      <c r="I409">
        <v>0</v>
      </c>
      <c r="J409" t="s">
        <v>50</v>
      </c>
      <c r="K409" t="s">
        <v>40</v>
      </c>
    </row>
    <row r="410" spans="1:11" x14ac:dyDescent="0.25">
      <c r="A410" t="s">
        <v>927</v>
      </c>
      <c r="B410" t="s">
        <v>12</v>
      </c>
      <c r="C410" t="s">
        <v>794</v>
      </c>
      <c r="D410" t="s">
        <v>928</v>
      </c>
      <c r="E410" t="s">
        <v>929</v>
      </c>
      <c r="F410" t="s">
        <v>851</v>
      </c>
      <c r="G410" t="s">
        <v>753</v>
      </c>
      <c r="H410">
        <v>10560</v>
      </c>
      <c r="I410">
        <v>10639.7</v>
      </c>
      <c r="J410" t="s">
        <v>18</v>
      </c>
      <c r="K410" t="s">
        <v>19</v>
      </c>
    </row>
    <row r="411" spans="1:11" x14ac:dyDescent="0.25">
      <c r="A411" t="s">
        <v>930</v>
      </c>
      <c r="B411" t="s">
        <v>21</v>
      </c>
      <c r="C411" t="s">
        <v>794</v>
      </c>
      <c r="D411" t="s">
        <v>928</v>
      </c>
      <c r="E411" t="s">
        <v>929</v>
      </c>
      <c r="F411" t="s">
        <v>851</v>
      </c>
      <c r="G411" t="s">
        <v>931</v>
      </c>
      <c r="H411">
        <v>17600</v>
      </c>
      <c r="I411">
        <v>17055.12</v>
      </c>
      <c r="J411" t="s">
        <v>18</v>
      </c>
      <c r="K411" t="s">
        <v>23</v>
      </c>
    </row>
    <row r="412" spans="1:11" x14ac:dyDescent="0.25">
      <c r="A412" t="s">
        <v>932</v>
      </c>
      <c r="B412" t="s">
        <v>25</v>
      </c>
      <c r="C412" t="s">
        <v>794</v>
      </c>
      <c r="D412" t="s">
        <v>928</v>
      </c>
      <c r="E412" t="s">
        <v>929</v>
      </c>
      <c r="F412" t="s">
        <v>851</v>
      </c>
      <c r="G412" t="s">
        <v>933</v>
      </c>
      <c r="H412">
        <v>21120</v>
      </c>
      <c r="I412">
        <v>21065.58</v>
      </c>
      <c r="J412" t="s">
        <v>18</v>
      </c>
      <c r="K412" t="s">
        <v>40</v>
      </c>
    </row>
    <row r="413" spans="1:11" x14ac:dyDescent="0.25">
      <c r="A413" t="s">
        <v>934</v>
      </c>
      <c r="B413" t="s">
        <v>29</v>
      </c>
      <c r="C413" t="s">
        <v>794</v>
      </c>
      <c r="D413" t="s">
        <v>928</v>
      </c>
      <c r="E413" t="s">
        <v>929</v>
      </c>
      <c r="F413" t="s">
        <v>851</v>
      </c>
      <c r="G413" t="s">
        <v>935</v>
      </c>
      <c r="H413">
        <v>28160</v>
      </c>
      <c r="I413">
        <v>26990.85</v>
      </c>
      <c r="J413" t="s">
        <v>18</v>
      </c>
      <c r="K413" t="s">
        <v>19</v>
      </c>
    </row>
    <row r="414" spans="1:11" x14ac:dyDescent="0.25">
      <c r="A414" t="s">
        <v>936</v>
      </c>
      <c r="B414" t="s">
        <v>32</v>
      </c>
      <c r="C414" t="s">
        <v>794</v>
      </c>
      <c r="D414" t="s">
        <v>928</v>
      </c>
      <c r="E414" t="s">
        <v>929</v>
      </c>
      <c r="F414" t="s">
        <v>851</v>
      </c>
      <c r="G414" t="s">
        <v>937</v>
      </c>
      <c r="H414">
        <v>38720</v>
      </c>
      <c r="I414">
        <v>36774.99</v>
      </c>
      <c r="J414" t="s">
        <v>18</v>
      </c>
      <c r="K414" t="s">
        <v>19</v>
      </c>
    </row>
    <row r="415" spans="1:11" x14ac:dyDescent="0.25">
      <c r="A415" t="s">
        <v>938</v>
      </c>
      <c r="B415" t="s">
        <v>35</v>
      </c>
      <c r="C415" t="s">
        <v>794</v>
      </c>
      <c r="D415" t="s">
        <v>928</v>
      </c>
      <c r="E415" t="s">
        <v>929</v>
      </c>
      <c r="F415" t="s">
        <v>851</v>
      </c>
      <c r="G415" t="s">
        <v>939</v>
      </c>
      <c r="H415">
        <v>45760</v>
      </c>
      <c r="I415">
        <v>47045.06</v>
      </c>
      <c r="J415" t="s">
        <v>18</v>
      </c>
      <c r="K415" t="s">
        <v>27</v>
      </c>
    </row>
    <row r="416" spans="1:11" x14ac:dyDescent="0.25">
      <c r="A416" t="s">
        <v>940</v>
      </c>
      <c r="B416" t="s">
        <v>38</v>
      </c>
      <c r="C416" t="s">
        <v>794</v>
      </c>
      <c r="D416" t="s">
        <v>928</v>
      </c>
      <c r="E416" t="s">
        <v>929</v>
      </c>
      <c r="F416" t="s">
        <v>851</v>
      </c>
      <c r="G416" t="s">
        <v>941</v>
      </c>
      <c r="H416">
        <v>45760</v>
      </c>
      <c r="I416">
        <v>43498.85</v>
      </c>
      <c r="J416" t="s">
        <v>18</v>
      </c>
      <c r="K416" t="s">
        <v>23</v>
      </c>
    </row>
    <row r="417" spans="1:11" x14ac:dyDescent="0.25">
      <c r="A417" t="s">
        <v>942</v>
      </c>
      <c r="B417" t="s">
        <v>42</v>
      </c>
      <c r="C417" t="s">
        <v>794</v>
      </c>
      <c r="D417" t="s">
        <v>928</v>
      </c>
      <c r="E417" t="s">
        <v>929</v>
      </c>
      <c r="F417" t="s">
        <v>851</v>
      </c>
      <c r="G417" t="s">
        <v>943</v>
      </c>
      <c r="H417">
        <v>42240</v>
      </c>
      <c r="I417">
        <v>46397.47</v>
      </c>
      <c r="J417" t="s">
        <v>18</v>
      </c>
      <c r="K417" t="s">
        <v>19</v>
      </c>
    </row>
    <row r="418" spans="1:11" x14ac:dyDescent="0.25">
      <c r="A418" t="s">
        <v>944</v>
      </c>
      <c r="B418" t="s">
        <v>45</v>
      </c>
      <c r="C418" t="s">
        <v>794</v>
      </c>
      <c r="D418" t="s">
        <v>928</v>
      </c>
      <c r="E418" t="s">
        <v>929</v>
      </c>
      <c r="F418" t="s">
        <v>851</v>
      </c>
      <c r="G418" t="s">
        <v>945</v>
      </c>
      <c r="H418">
        <v>38720</v>
      </c>
      <c r="I418">
        <v>39190.71</v>
      </c>
      <c r="J418" t="s">
        <v>18</v>
      </c>
      <c r="K418" t="s">
        <v>23</v>
      </c>
    </row>
    <row r="419" spans="1:11" x14ac:dyDescent="0.25">
      <c r="A419" t="s">
        <v>946</v>
      </c>
      <c r="B419" t="s">
        <v>48</v>
      </c>
      <c r="C419" t="s">
        <v>794</v>
      </c>
      <c r="D419" t="s">
        <v>928</v>
      </c>
      <c r="E419" t="s">
        <v>929</v>
      </c>
      <c r="F419" t="s">
        <v>851</v>
      </c>
      <c r="G419" t="s">
        <v>947</v>
      </c>
      <c r="H419">
        <v>28160</v>
      </c>
      <c r="I419">
        <v>0</v>
      </c>
      <c r="J419" t="s">
        <v>50</v>
      </c>
      <c r="K419" t="s">
        <v>40</v>
      </c>
    </row>
    <row r="420" spans="1:11" x14ac:dyDescent="0.25">
      <c r="A420" t="s">
        <v>948</v>
      </c>
      <c r="B420" t="s">
        <v>52</v>
      </c>
      <c r="C420" t="s">
        <v>794</v>
      </c>
      <c r="D420" t="s">
        <v>928</v>
      </c>
      <c r="E420" t="s">
        <v>929</v>
      </c>
      <c r="F420" t="s">
        <v>851</v>
      </c>
      <c r="G420" t="s">
        <v>949</v>
      </c>
      <c r="H420">
        <v>21120</v>
      </c>
      <c r="I420">
        <v>0</v>
      </c>
      <c r="J420" t="s">
        <v>50</v>
      </c>
      <c r="K420" t="s">
        <v>27</v>
      </c>
    </row>
    <row r="421" spans="1:11" x14ac:dyDescent="0.25">
      <c r="A421" t="s">
        <v>950</v>
      </c>
      <c r="B421" t="s">
        <v>55</v>
      </c>
      <c r="C421" t="s">
        <v>794</v>
      </c>
      <c r="D421" t="s">
        <v>928</v>
      </c>
      <c r="E421" t="s">
        <v>929</v>
      </c>
      <c r="F421" t="s">
        <v>851</v>
      </c>
      <c r="G421" t="s">
        <v>951</v>
      </c>
      <c r="H421">
        <v>14080</v>
      </c>
      <c r="I421">
        <v>0</v>
      </c>
      <c r="J421" t="s">
        <v>50</v>
      </c>
      <c r="K421" t="s">
        <v>23</v>
      </c>
    </row>
    <row r="422" spans="1:11" x14ac:dyDescent="0.25">
      <c r="A422" t="s">
        <v>952</v>
      </c>
      <c r="B422" t="s">
        <v>12</v>
      </c>
      <c r="C422" t="s">
        <v>794</v>
      </c>
      <c r="D422" t="s">
        <v>953</v>
      </c>
      <c r="E422" t="s">
        <v>954</v>
      </c>
      <c r="F422" t="s">
        <v>797</v>
      </c>
      <c r="G422" t="s">
        <v>955</v>
      </c>
      <c r="H422">
        <v>111900</v>
      </c>
      <c r="I422">
        <v>108495.9</v>
      </c>
      <c r="J422" t="s">
        <v>18</v>
      </c>
      <c r="K422" t="s">
        <v>19</v>
      </c>
    </row>
    <row r="423" spans="1:11" x14ac:dyDescent="0.25">
      <c r="A423" t="s">
        <v>956</v>
      </c>
      <c r="B423" t="s">
        <v>21</v>
      </c>
      <c r="C423" t="s">
        <v>794</v>
      </c>
      <c r="D423" t="s">
        <v>953</v>
      </c>
      <c r="E423" t="s">
        <v>954</v>
      </c>
      <c r="F423" t="s">
        <v>797</v>
      </c>
      <c r="G423" t="s">
        <v>957</v>
      </c>
      <c r="H423">
        <v>186500</v>
      </c>
      <c r="I423">
        <v>174899.22</v>
      </c>
      <c r="J423" t="s">
        <v>18</v>
      </c>
      <c r="K423" t="s">
        <v>19</v>
      </c>
    </row>
    <row r="424" spans="1:11" x14ac:dyDescent="0.25">
      <c r="A424" t="s">
        <v>958</v>
      </c>
      <c r="B424" t="s">
        <v>25</v>
      </c>
      <c r="C424" t="s">
        <v>794</v>
      </c>
      <c r="D424" t="s">
        <v>953</v>
      </c>
      <c r="E424" t="s">
        <v>954</v>
      </c>
      <c r="F424" t="s">
        <v>797</v>
      </c>
      <c r="G424" t="s">
        <v>959</v>
      </c>
      <c r="H424">
        <v>223800</v>
      </c>
      <c r="I424">
        <v>211284.32</v>
      </c>
      <c r="J424" t="s">
        <v>18</v>
      </c>
      <c r="K424" t="s">
        <v>27</v>
      </c>
    </row>
    <row r="425" spans="1:11" x14ac:dyDescent="0.25">
      <c r="A425" t="s">
        <v>960</v>
      </c>
      <c r="B425" t="s">
        <v>29</v>
      </c>
      <c r="C425" t="s">
        <v>794</v>
      </c>
      <c r="D425" t="s">
        <v>953</v>
      </c>
      <c r="E425" t="s">
        <v>954</v>
      </c>
      <c r="F425" t="s">
        <v>797</v>
      </c>
      <c r="G425" t="s">
        <v>961</v>
      </c>
      <c r="H425">
        <v>298400</v>
      </c>
      <c r="I425">
        <v>273372.84999999998</v>
      </c>
      <c r="J425" t="s">
        <v>18</v>
      </c>
      <c r="K425" t="s">
        <v>23</v>
      </c>
    </row>
    <row r="426" spans="1:11" x14ac:dyDescent="0.25">
      <c r="A426" t="s">
        <v>962</v>
      </c>
      <c r="B426" t="s">
        <v>32</v>
      </c>
      <c r="C426" t="s">
        <v>794</v>
      </c>
      <c r="D426" t="s">
        <v>953</v>
      </c>
      <c r="E426" t="s">
        <v>954</v>
      </c>
      <c r="F426" t="s">
        <v>797</v>
      </c>
      <c r="G426" t="s">
        <v>963</v>
      </c>
      <c r="H426">
        <v>410300</v>
      </c>
      <c r="I426">
        <v>372187.63</v>
      </c>
      <c r="J426" t="s">
        <v>18</v>
      </c>
      <c r="K426" t="s">
        <v>27</v>
      </c>
    </row>
    <row r="427" spans="1:11" x14ac:dyDescent="0.25">
      <c r="A427" t="s">
        <v>964</v>
      </c>
      <c r="B427" t="s">
        <v>35</v>
      </c>
      <c r="C427" t="s">
        <v>794</v>
      </c>
      <c r="D427" t="s">
        <v>953</v>
      </c>
      <c r="E427" t="s">
        <v>954</v>
      </c>
      <c r="F427" t="s">
        <v>797</v>
      </c>
      <c r="G427" t="s">
        <v>965</v>
      </c>
      <c r="H427">
        <v>484900</v>
      </c>
      <c r="I427">
        <v>486177.48</v>
      </c>
      <c r="J427" t="s">
        <v>18</v>
      </c>
      <c r="K427" t="s">
        <v>40</v>
      </c>
    </row>
    <row r="428" spans="1:11" x14ac:dyDescent="0.25">
      <c r="A428" t="s">
        <v>966</v>
      </c>
      <c r="B428" t="s">
        <v>38</v>
      </c>
      <c r="C428" t="s">
        <v>794</v>
      </c>
      <c r="D428" t="s">
        <v>953</v>
      </c>
      <c r="E428" t="s">
        <v>954</v>
      </c>
      <c r="F428" t="s">
        <v>797</v>
      </c>
      <c r="G428" t="s">
        <v>967</v>
      </c>
      <c r="H428">
        <v>484900</v>
      </c>
      <c r="I428">
        <v>446256.67</v>
      </c>
      <c r="J428" t="s">
        <v>18</v>
      </c>
      <c r="K428" t="s">
        <v>40</v>
      </c>
    </row>
    <row r="429" spans="1:11" x14ac:dyDescent="0.25">
      <c r="A429" t="s">
        <v>968</v>
      </c>
      <c r="B429" t="s">
        <v>42</v>
      </c>
      <c r="C429" t="s">
        <v>794</v>
      </c>
      <c r="D429" t="s">
        <v>953</v>
      </c>
      <c r="E429" t="s">
        <v>954</v>
      </c>
      <c r="F429" t="s">
        <v>797</v>
      </c>
      <c r="G429" t="s">
        <v>969</v>
      </c>
      <c r="H429">
        <v>447600</v>
      </c>
      <c r="I429">
        <v>461472.22</v>
      </c>
      <c r="J429" t="s">
        <v>18</v>
      </c>
      <c r="K429" t="s">
        <v>23</v>
      </c>
    </row>
    <row r="430" spans="1:11" x14ac:dyDescent="0.25">
      <c r="A430" t="s">
        <v>970</v>
      </c>
      <c r="B430" t="s">
        <v>45</v>
      </c>
      <c r="C430" t="s">
        <v>794</v>
      </c>
      <c r="D430" t="s">
        <v>953</v>
      </c>
      <c r="E430" t="s">
        <v>954</v>
      </c>
      <c r="F430" t="s">
        <v>797</v>
      </c>
      <c r="G430" t="s">
        <v>971</v>
      </c>
      <c r="H430">
        <v>410300</v>
      </c>
      <c r="I430">
        <v>412874.32</v>
      </c>
      <c r="J430" t="s">
        <v>18</v>
      </c>
      <c r="K430" t="s">
        <v>19</v>
      </c>
    </row>
    <row r="431" spans="1:11" x14ac:dyDescent="0.25">
      <c r="A431" t="s">
        <v>972</v>
      </c>
      <c r="B431" t="s">
        <v>48</v>
      </c>
      <c r="C431" t="s">
        <v>794</v>
      </c>
      <c r="D431" t="s">
        <v>953</v>
      </c>
      <c r="E431" t="s">
        <v>954</v>
      </c>
      <c r="F431" t="s">
        <v>797</v>
      </c>
      <c r="G431" t="s">
        <v>973</v>
      </c>
      <c r="H431">
        <v>298400</v>
      </c>
      <c r="I431">
        <v>0</v>
      </c>
      <c r="J431" t="s">
        <v>50</v>
      </c>
      <c r="K431" t="s">
        <v>19</v>
      </c>
    </row>
    <row r="432" spans="1:11" x14ac:dyDescent="0.25">
      <c r="A432" t="s">
        <v>974</v>
      </c>
      <c r="B432" t="s">
        <v>52</v>
      </c>
      <c r="C432" t="s">
        <v>794</v>
      </c>
      <c r="D432" t="s">
        <v>953</v>
      </c>
      <c r="E432" t="s">
        <v>954</v>
      </c>
      <c r="F432" t="s">
        <v>797</v>
      </c>
      <c r="G432" t="s">
        <v>975</v>
      </c>
      <c r="H432">
        <v>223800</v>
      </c>
      <c r="I432">
        <v>0</v>
      </c>
      <c r="J432" t="s">
        <v>50</v>
      </c>
      <c r="K432" t="s">
        <v>19</v>
      </c>
    </row>
    <row r="433" spans="1:11" x14ac:dyDescent="0.25">
      <c r="A433" t="s">
        <v>976</v>
      </c>
      <c r="B433" t="s">
        <v>55</v>
      </c>
      <c r="C433" t="s">
        <v>794</v>
      </c>
      <c r="D433" t="s">
        <v>953</v>
      </c>
      <c r="E433" t="s">
        <v>954</v>
      </c>
      <c r="F433" t="s">
        <v>797</v>
      </c>
      <c r="G433" t="s">
        <v>977</v>
      </c>
      <c r="H433">
        <v>149200</v>
      </c>
      <c r="I433">
        <v>0</v>
      </c>
      <c r="J433" t="s">
        <v>50</v>
      </c>
      <c r="K433" t="s">
        <v>40</v>
      </c>
    </row>
    <row r="434" spans="1:11" x14ac:dyDescent="0.25">
      <c r="A434" t="s">
        <v>978</v>
      </c>
      <c r="B434" t="s">
        <v>12</v>
      </c>
      <c r="C434" t="s">
        <v>794</v>
      </c>
      <c r="D434" t="s">
        <v>979</v>
      </c>
      <c r="E434" t="s">
        <v>980</v>
      </c>
      <c r="F434" t="s">
        <v>851</v>
      </c>
      <c r="G434" t="s">
        <v>981</v>
      </c>
      <c r="H434">
        <v>48900</v>
      </c>
      <c r="I434">
        <v>46568.800000000003</v>
      </c>
      <c r="J434" t="s">
        <v>18</v>
      </c>
      <c r="K434" t="s">
        <v>23</v>
      </c>
    </row>
    <row r="435" spans="1:11" x14ac:dyDescent="0.25">
      <c r="A435" t="s">
        <v>982</v>
      </c>
      <c r="B435" t="s">
        <v>21</v>
      </c>
      <c r="C435" t="s">
        <v>794</v>
      </c>
      <c r="D435" t="s">
        <v>979</v>
      </c>
      <c r="E435" t="s">
        <v>980</v>
      </c>
      <c r="F435" t="s">
        <v>851</v>
      </c>
      <c r="G435" t="s">
        <v>983</v>
      </c>
      <c r="H435">
        <v>81500</v>
      </c>
      <c r="I435">
        <v>82381.66</v>
      </c>
      <c r="J435" t="s">
        <v>18</v>
      </c>
      <c r="K435" t="s">
        <v>23</v>
      </c>
    </row>
    <row r="436" spans="1:11" x14ac:dyDescent="0.25">
      <c r="A436" t="s">
        <v>984</v>
      </c>
      <c r="B436" t="s">
        <v>25</v>
      </c>
      <c r="C436" t="s">
        <v>794</v>
      </c>
      <c r="D436" t="s">
        <v>979</v>
      </c>
      <c r="E436" t="s">
        <v>980</v>
      </c>
      <c r="F436" t="s">
        <v>851</v>
      </c>
      <c r="G436" t="s">
        <v>985</v>
      </c>
      <c r="H436">
        <v>97800</v>
      </c>
      <c r="I436">
        <v>94072.1</v>
      </c>
      <c r="J436" t="s">
        <v>18</v>
      </c>
      <c r="K436" t="s">
        <v>19</v>
      </c>
    </row>
    <row r="437" spans="1:11" x14ac:dyDescent="0.25">
      <c r="A437" t="s">
        <v>986</v>
      </c>
      <c r="B437" t="s">
        <v>29</v>
      </c>
      <c r="C437" t="s">
        <v>794</v>
      </c>
      <c r="D437" t="s">
        <v>979</v>
      </c>
      <c r="E437" t="s">
        <v>980</v>
      </c>
      <c r="F437" t="s">
        <v>851</v>
      </c>
      <c r="G437" t="s">
        <v>987</v>
      </c>
      <c r="H437">
        <v>130400</v>
      </c>
      <c r="I437">
        <v>120717.59</v>
      </c>
      <c r="J437" t="s">
        <v>18</v>
      </c>
      <c r="K437" t="s">
        <v>40</v>
      </c>
    </row>
    <row r="438" spans="1:11" x14ac:dyDescent="0.25">
      <c r="A438" t="s">
        <v>988</v>
      </c>
      <c r="B438" t="s">
        <v>32</v>
      </c>
      <c r="C438" t="s">
        <v>794</v>
      </c>
      <c r="D438" t="s">
        <v>979</v>
      </c>
      <c r="E438" t="s">
        <v>980</v>
      </c>
      <c r="F438" t="s">
        <v>851</v>
      </c>
      <c r="G438" t="s">
        <v>989</v>
      </c>
      <c r="H438">
        <v>179300</v>
      </c>
      <c r="I438">
        <v>172855.09</v>
      </c>
      <c r="J438" t="s">
        <v>18</v>
      </c>
      <c r="K438" t="s">
        <v>23</v>
      </c>
    </row>
    <row r="439" spans="1:11" x14ac:dyDescent="0.25">
      <c r="A439" t="s">
        <v>990</v>
      </c>
      <c r="B439" t="s">
        <v>35</v>
      </c>
      <c r="C439" t="s">
        <v>794</v>
      </c>
      <c r="D439" t="s">
        <v>979</v>
      </c>
      <c r="E439" t="s">
        <v>980</v>
      </c>
      <c r="F439" t="s">
        <v>851</v>
      </c>
      <c r="G439" t="s">
        <v>991</v>
      </c>
      <c r="H439">
        <v>211900</v>
      </c>
      <c r="I439">
        <v>211330.26</v>
      </c>
      <c r="J439" t="s">
        <v>18</v>
      </c>
      <c r="K439" t="s">
        <v>23</v>
      </c>
    </row>
    <row r="440" spans="1:11" x14ac:dyDescent="0.25">
      <c r="A440" t="s">
        <v>992</v>
      </c>
      <c r="B440" t="s">
        <v>38</v>
      </c>
      <c r="C440" t="s">
        <v>794</v>
      </c>
      <c r="D440" t="s">
        <v>979</v>
      </c>
      <c r="E440" t="s">
        <v>980</v>
      </c>
      <c r="F440" t="s">
        <v>851</v>
      </c>
      <c r="G440" t="s">
        <v>993</v>
      </c>
      <c r="H440">
        <v>211900</v>
      </c>
      <c r="I440">
        <v>211440.99</v>
      </c>
      <c r="J440" t="s">
        <v>18</v>
      </c>
      <c r="K440" t="s">
        <v>19</v>
      </c>
    </row>
    <row r="441" spans="1:11" x14ac:dyDescent="0.25">
      <c r="A441" t="s">
        <v>994</v>
      </c>
      <c r="B441" t="s">
        <v>42</v>
      </c>
      <c r="C441" t="s">
        <v>794</v>
      </c>
      <c r="D441" t="s">
        <v>979</v>
      </c>
      <c r="E441" t="s">
        <v>980</v>
      </c>
      <c r="F441" t="s">
        <v>851</v>
      </c>
      <c r="G441" t="s">
        <v>995</v>
      </c>
      <c r="H441">
        <v>195600</v>
      </c>
      <c r="I441">
        <v>210207.89</v>
      </c>
      <c r="J441" t="s">
        <v>18</v>
      </c>
      <c r="K441" t="s">
        <v>27</v>
      </c>
    </row>
    <row r="442" spans="1:11" x14ac:dyDescent="0.25">
      <c r="A442" t="s">
        <v>996</v>
      </c>
      <c r="B442" t="s">
        <v>45</v>
      </c>
      <c r="C442" t="s">
        <v>794</v>
      </c>
      <c r="D442" t="s">
        <v>979</v>
      </c>
      <c r="E442" t="s">
        <v>980</v>
      </c>
      <c r="F442" t="s">
        <v>851</v>
      </c>
      <c r="G442" t="s">
        <v>997</v>
      </c>
      <c r="H442">
        <v>179300</v>
      </c>
      <c r="I442">
        <v>179703.01</v>
      </c>
      <c r="J442" t="s">
        <v>18</v>
      </c>
      <c r="K442" t="s">
        <v>40</v>
      </c>
    </row>
    <row r="443" spans="1:11" x14ac:dyDescent="0.25">
      <c r="A443" t="s">
        <v>998</v>
      </c>
      <c r="B443" t="s">
        <v>48</v>
      </c>
      <c r="C443" t="s">
        <v>794</v>
      </c>
      <c r="D443" t="s">
        <v>979</v>
      </c>
      <c r="E443" t="s">
        <v>980</v>
      </c>
      <c r="F443" t="s">
        <v>851</v>
      </c>
      <c r="G443" t="s">
        <v>999</v>
      </c>
      <c r="H443">
        <v>130400</v>
      </c>
      <c r="I443">
        <v>0</v>
      </c>
      <c r="J443" t="s">
        <v>50</v>
      </c>
      <c r="K443" t="s">
        <v>40</v>
      </c>
    </row>
    <row r="444" spans="1:11" x14ac:dyDescent="0.25">
      <c r="A444" t="s">
        <v>1000</v>
      </c>
      <c r="B444" t="s">
        <v>52</v>
      </c>
      <c r="C444" t="s">
        <v>794</v>
      </c>
      <c r="D444" t="s">
        <v>979</v>
      </c>
      <c r="E444" t="s">
        <v>980</v>
      </c>
      <c r="F444" t="s">
        <v>851</v>
      </c>
      <c r="G444" t="s">
        <v>1001</v>
      </c>
      <c r="H444">
        <v>97800</v>
      </c>
      <c r="I444">
        <v>0</v>
      </c>
      <c r="J444" t="s">
        <v>50</v>
      </c>
      <c r="K444" t="s">
        <v>40</v>
      </c>
    </row>
    <row r="445" spans="1:11" x14ac:dyDescent="0.25">
      <c r="A445" t="s">
        <v>1002</v>
      </c>
      <c r="B445" t="s">
        <v>55</v>
      </c>
      <c r="C445" t="s">
        <v>794</v>
      </c>
      <c r="D445" t="s">
        <v>979</v>
      </c>
      <c r="E445" t="s">
        <v>980</v>
      </c>
      <c r="F445" t="s">
        <v>851</v>
      </c>
      <c r="G445" t="s">
        <v>1003</v>
      </c>
      <c r="H445">
        <v>65200</v>
      </c>
      <c r="I445">
        <v>0</v>
      </c>
      <c r="J445" t="s">
        <v>50</v>
      </c>
      <c r="K445" t="s">
        <v>40</v>
      </c>
    </row>
    <row r="446" spans="1:11" x14ac:dyDescent="0.25">
      <c r="A446" t="s">
        <v>1004</v>
      </c>
      <c r="B446" t="s">
        <v>12</v>
      </c>
      <c r="C446" t="s">
        <v>794</v>
      </c>
      <c r="D446" t="s">
        <v>1005</v>
      </c>
      <c r="E446" t="s">
        <v>1006</v>
      </c>
      <c r="F446" t="s">
        <v>824</v>
      </c>
      <c r="G446" t="s">
        <v>1007</v>
      </c>
      <c r="H446">
        <v>88800</v>
      </c>
      <c r="I446">
        <v>86864.47</v>
      </c>
      <c r="J446" t="s">
        <v>18</v>
      </c>
      <c r="K446" t="s">
        <v>40</v>
      </c>
    </row>
    <row r="447" spans="1:11" x14ac:dyDescent="0.25">
      <c r="A447" t="s">
        <v>1008</v>
      </c>
      <c r="B447" t="s">
        <v>21</v>
      </c>
      <c r="C447" t="s">
        <v>794</v>
      </c>
      <c r="D447" t="s">
        <v>1005</v>
      </c>
      <c r="E447" t="s">
        <v>1006</v>
      </c>
      <c r="F447" t="s">
        <v>824</v>
      </c>
      <c r="G447" t="s">
        <v>1009</v>
      </c>
      <c r="H447">
        <v>148000</v>
      </c>
      <c r="I447">
        <v>140361.57999999999</v>
      </c>
      <c r="J447" t="s">
        <v>18</v>
      </c>
      <c r="K447" t="s">
        <v>40</v>
      </c>
    </row>
    <row r="448" spans="1:11" x14ac:dyDescent="0.25">
      <c r="A448" t="s">
        <v>1010</v>
      </c>
      <c r="B448" t="s">
        <v>25</v>
      </c>
      <c r="C448" t="s">
        <v>794</v>
      </c>
      <c r="D448" t="s">
        <v>1005</v>
      </c>
      <c r="E448" t="s">
        <v>1006</v>
      </c>
      <c r="F448" t="s">
        <v>824</v>
      </c>
      <c r="G448" t="s">
        <v>1011</v>
      </c>
      <c r="H448">
        <v>177600</v>
      </c>
      <c r="I448">
        <v>179016.74</v>
      </c>
      <c r="J448" t="s">
        <v>18</v>
      </c>
      <c r="K448" t="s">
        <v>40</v>
      </c>
    </row>
    <row r="449" spans="1:11" x14ac:dyDescent="0.25">
      <c r="A449" t="s">
        <v>1012</v>
      </c>
      <c r="B449" t="s">
        <v>29</v>
      </c>
      <c r="C449" t="s">
        <v>794</v>
      </c>
      <c r="D449" t="s">
        <v>1005</v>
      </c>
      <c r="E449" t="s">
        <v>1006</v>
      </c>
      <c r="F449" t="s">
        <v>824</v>
      </c>
      <c r="G449" t="s">
        <v>1013</v>
      </c>
      <c r="H449">
        <v>236800</v>
      </c>
      <c r="I449">
        <v>234913.38</v>
      </c>
      <c r="J449" t="s">
        <v>18</v>
      </c>
      <c r="K449" t="s">
        <v>27</v>
      </c>
    </row>
    <row r="450" spans="1:11" x14ac:dyDescent="0.25">
      <c r="A450" t="s">
        <v>1014</v>
      </c>
      <c r="B450" t="s">
        <v>32</v>
      </c>
      <c r="C450" t="s">
        <v>794</v>
      </c>
      <c r="D450" t="s">
        <v>1005</v>
      </c>
      <c r="E450" t="s">
        <v>1006</v>
      </c>
      <c r="F450" t="s">
        <v>824</v>
      </c>
      <c r="G450" t="s">
        <v>1015</v>
      </c>
      <c r="H450">
        <v>325600</v>
      </c>
      <c r="I450">
        <v>322939.71000000002</v>
      </c>
      <c r="J450" t="s">
        <v>18</v>
      </c>
      <c r="K450" t="s">
        <v>19</v>
      </c>
    </row>
    <row r="451" spans="1:11" x14ac:dyDescent="0.25">
      <c r="A451" t="s">
        <v>1016</v>
      </c>
      <c r="B451" t="s">
        <v>35</v>
      </c>
      <c r="C451" t="s">
        <v>794</v>
      </c>
      <c r="D451" t="s">
        <v>1005</v>
      </c>
      <c r="E451" t="s">
        <v>1006</v>
      </c>
      <c r="F451" t="s">
        <v>824</v>
      </c>
      <c r="G451" t="s">
        <v>1017</v>
      </c>
      <c r="H451">
        <v>384800</v>
      </c>
      <c r="I451">
        <v>375569.26</v>
      </c>
      <c r="J451" t="s">
        <v>18</v>
      </c>
      <c r="K451" t="s">
        <v>23</v>
      </c>
    </row>
    <row r="452" spans="1:11" x14ac:dyDescent="0.25">
      <c r="A452" t="s">
        <v>1018</v>
      </c>
      <c r="B452" t="s">
        <v>38</v>
      </c>
      <c r="C452" t="s">
        <v>794</v>
      </c>
      <c r="D452" t="s">
        <v>1005</v>
      </c>
      <c r="E452" t="s">
        <v>1006</v>
      </c>
      <c r="F452" t="s">
        <v>824</v>
      </c>
      <c r="G452" t="s">
        <v>1019</v>
      </c>
      <c r="H452">
        <v>384800</v>
      </c>
      <c r="I452">
        <v>365264.67</v>
      </c>
      <c r="J452" t="s">
        <v>18</v>
      </c>
      <c r="K452" t="s">
        <v>27</v>
      </c>
    </row>
    <row r="453" spans="1:11" x14ac:dyDescent="0.25">
      <c r="A453" t="s">
        <v>1020</v>
      </c>
      <c r="B453" t="s">
        <v>42</v>
      </c>
      <c r="C453" t="s">
        <v>794</v>
      </c>
      <c r="D453" t="s">
        <v>1005</v>
      </c>
      <c r="E453" t="s">
        <v>1006</v>
      </c>
      <c r="F453" t="s">
        <v>824</v>
      </c>
      <c r="G453" t="s">
        <v>1021</v>
      </c>
      <c r="H453">
        <v>355200</v>
      </c>
      <c r="I453">
        <v>383269.1</v>
      </c>
      <c r="J453" t="s">
        <v>18</v>
      </c>
      <c r="K453" t="s">
        <v>23</v>
      </c>
    </row>
    <row r="454" spans="1:11" x14ac:dyDescent="0.25">
      <c r="A454" t="s">
        <v>1022</v>
      </c>
      <c r="B454" t="s">
        <v>45</v>
      </c>
      <c r="C454" t="s">
        <v>794</v>
      </c>
      <c r="D454" t="s">
        <v>1005</v>
      </c>
      <c r="E454" t="s">
        <v>1006</v>
      </c>
      <c r="F454" t="s">
        <v>824</v>
      </c>
      <c r="G454" t="s">
        <v>1023</v>
      </c>
      <c r="H454">
        <v>325600</v>
      </c>
      <c r="I454">
        <v>311677.93</v>
      </c>
      <c r="J454" t="s">
        <v>18</v>
      </c>
      <c r="K454" t="s">
        <v>23</v>
      </c>
    </row>
    <row r="455" spans="1:11" x14ac:dyDescent="0.25">
      <c r="A455" t="s">
        <v>1024</v>
      </c>
      <c r="B455" t="s">
        <v>48</v>
      </c>
      <c r="C455" t="s">
        <v>794</v>
      </c>
      <c r="D455" t="s">
        <v>1005</v>
      </c>
      <c r="E455" t="s">
        <v>1006</v>
      </c>
      <c r="F455" t="s">
        <v>824</v>
      </c>
      <c r="G455" t="s">
        <v>1025</v>
      </c>
      <c r="H455">
        <v>236800</v>
      </c>
      <c r="I455">
        <v>0</v>
      </c>
      <c r="J455" t="s">
        <v>50</v>
      </c>
      <c r="K455" t="s">
        <v>23</v>
      </c>
    </row>
    <row r="456" spans="1:11" x14ac:dyDescent="0.25">
      <c r="A456" t="s">
        <v>1026</v>
      </c>
      <c r="B456" t="s">
        <v>52</v>
      </c>
      <c r="C456" t="s">
        <v>794</v>
      </c>
      <c r="D456" t="s">
        <v>1005</v>
      </c>
      <c r="E456" t="s">
        <v>1006</v>
      </c>
      <c r="F456" t="s">
        <v>824</v>
      </c>
      <c r="G456" t="s">
        <v>1027</v>
      </c>
      <c r="H456">
        <v>177600</v>
      </c>
      <c r="I456">
        <v>0</v>
      </c>
      <c r="J456" t="s">
        <v>50</v>
      </c>
      <c r="K456" t="s">
        <v>23</v>
      </c>
    </row>
    <row r="457" spans="1:11" x14ac:dyDescent="0.25">
      <c r="A457" t="s">
        <v>1028</v>
      </c>
      <c r="B457" t="s">
        <v>55</v>
      </c>
      <c r="C457" t="s">
        <v>794</v>
      </c>
      <c r="D457" t="s">
        <v>1005</v>
      </c>
      <c r="E457" t="s">
        <v>1006</v>
      </c>
      <c r="F457" t="s">
        <v>824</v>
      </c>
      <c r="G457" t="s">
        <v>1029</v>
      </c>
      <c r="H457">
        <v>118400</v>
      </c>
      <c r="I457">
        <v>0</v>
      </c>
      <c r="J457" t="s">
        <v>50</v>
      </c>
      <c r="K457" t="s">
        <v>27</v>
      </c>
    </row>
    <row r="458" spans="1:11" x14ac:dyDescent="0.25">
      <c r="A458" t="s">
        <v>1030</v>
      </c>
      <c r="B458" t="s">
        <v>21</v>
      </c>
      <c r="C458" t="s">
        <v>1031</v>
      </c>
      <c r="D458" t="s">
        <v>1032</v>
      </c>
      <c r="E458" t="s">
        <v>1033</v>
      </c>
      <c r="F458" t="s">
        <v>1034</v>
      </c>
      <c r="G458" t="s">
        <v>1035</v>
      </c>
      <c r="H458">
        <v>50250</v>
      </c>
      <c r="I458">
        <v>51116.91</v>
      </c>
      <c r="J458" t="s">
        <v>18</v>
      </c>
      <c r="K458" t="s">
        <v>40</v>
      </c>
    </row>
    <row r="459" spans="1:11" x14ac:dyDescent="0.25">
      <c r="A459" t="s">
        <v>1036</v>
      </c>
      <c r="B459" t="s">
        <v>25</v>
      </c>
      <c r="C459" t="s">
        <v>1031</v>
      </c>
      <c r="D459" t="s">
        <v>1032</v>
      </c>
      <c r="E459" t="s">
        <v>1033</v>
      </c>
      <c r="F459" t="s">
        <v>1034</v>
      </c>
      <c r="G459" t="s">
        <v>1037</v>
      </c>
      <c r="H459">
        <v>100500</v>
      </c>
      <c r="I459">
        <v>97884.55</v>
      </c>
      <c r="J459" t="s">
        <v>18</v>
      </c>
      <c r="K459" t="s">
        <v>19</v>
      </c>
    </row>
    <row r="460" spans="1:11" x14ac:dyDescent="0.25">
      <c r="A460" t="s">
        <v>1038</v>
      </c>
      <c r="B460" t="s">
        <v>29</v>
      </c>
      <c r="C460" t="s">
        <v>1031</v>
      </c>
      <c r="D460" t="s">
        <v>1032</v>
      </c>
      <c r="E460" t="s">
        <v>1033</v>
      </c>
      <c r="F460" t="s">
        <v>1034</v>
      </c>
      <c r="G460" t="s">
        <v>1039</v>
      </c>
      <c r="H460">
        <v>201000</v>
      </c>
      <c r="I460">
        <v>201689.22</v>
      </c>
      <c r="J460" t="s">
        <v>18</v>
      </c>
      <c r="K460" t="s">
        <v>27</v>
      </c>
    </row>
    <row r="461" spans="1:11" x14ac:dyDescent="0.25">
      <c r="A461" t="s">
        <v>1040</v>
      </c>
      <c r="B461" t="s">
        <v>32</v>
      </c>
      <c r="C461" t="s">
        <v>1031</v>
      </c>
      <c r="D461" t="s">
        <v>1032</v>
      </c>
      <c r="E461" t="s">
        <v>1033</v>
      </c>
      <c r="F461" t="s">
        <v>1034</v>
      </c>
      <c r="G461" t="s">
        <v>1041</v>
      </c>
      <c r="H461">
        <v>301500</v>
      </c>
      <c r="I461">
        <v>294720.39</v>
      </c>
      <c r="J461" t="s">
        <v>18</v>
      </c>
      <c r="K461" t="s">
        <v>19</v>
      </c>
    </row>
    <row r="462" spans="1:11" x14ac:dyDescent="0.25">
      <c r="A462" t="s">
        <v>1042</v>
      </c>
      <c r="B462" t="s">
        <v>35</v>
      </c>
      <c r="C462" t="s">
        <v>1031</v>
      </c>
      <c r="D462" t="s">
        <v>1032</v>
      </c>
      <c r="E462" t="s">
        <v>1033</v>
      </c>
      <c r="F462" t="s">
        <v>1034</v>
      </c>
      <c r="G462" t="s">
        <v>1043</v>
      </c>
      <c r="H462">
        <v>402000</v>
      </c>
      <c r="I462">
        <v>351829.42</v>
      </c>
      <c r="J462" t="s">
        <v>18</v>
      </c>
      <c r="K462" t="s">
        <v>27</v>
      </c>
    </row>
    <row r="463" spans="1:11" x14ac:dyDescent="0.25">
      <c r="A463" t="s">
        <v>1044</v>
      </c>
      <c r="B463" t="s">
        <v>38</v>
      </c>
      <c r="C463" t="s">
        <v>1031</v>
      </c>
      <c r="D463" t="s">
        <v>1032</v>
      </c>
      <c r="E463" t="s">
        <v>1033</v>
      </c>
      <c r="F463" t="s">
        <v>1034</v>
      </c>
      <c r="G463" t="s">
        <v>1045</v>
      </c>
      <c r="H463">
        <v>603000</v>
      </c>
      <c r="I463">
        <v>0</v>
      </c>
      <c r="J463" t="s">
        <v>50</v>
      </c>
      <c r="K463" t="s">
        <v>27</v>
      </c>
    </row>
    <row r="464" spans="1:11" x14ac:dyDescent="0.25">
      <c r="A464" t="s">
        <v>1046</v>
      </c>
      <c r="B464" t="s">
        <v>42</v>
      </c>
      <c r="C464" t="s">
        <v>1031</v>
      </c>
      <c r="D464" t="s">
        <v>1032</v>
      </c>
      <c r="E464" t="s">
        <v>1033</v>
      </c>
      <c r="F464" t="s">
        <v>1034</v>
      </c>
      <c r="G464" t="s">
        <v>1047</v>
      </c>
      <c r="H464">
        <v>703500</v>
      </c>
      <c r="I464">
        <v>0</v>
      </c>
      <c r="J464" t="s">
        <v>50</v>
      </c>
      <c r="K464" t="s">
        <v>40</v>
      </c>
    </row>
    <row r="465" spans="1:11" x14ac:dyDescent="0.25">
      <c r="A465" t="s">
        <v>1048</v>
      </c>
      <c r="B465" t="s">
        <v>45</v>
      </c>
      <c r="C465" t="s">
        <v>1031</v>
      </c>
      <c r="D465" t="s">
        <v>1032</v>
      </c>
      <c r="E465" t="s">
        <v>1033</v>
      </c>
      <c r="F465" t="s">
        <v>1034</v>
      </c>
      <c r="G465" t="s">
        <v>1049</v>
      </c>
      <c r="H465">
        <v>753750</v>
      </c>
      <c r="I465">
        <v>0</v>
      </c>
      <c r="J465" t="s">
        <v>50</v>
      </c>
      <c r="K465" t="s">
        <v>19</v>
      </c>
    </row>
    <row r="466" spans="1:11" x14ac:dyDescent="0.25">
      <c r="A466" t="s">
        <v>1050</v>
      </c>
      <c r="B466" t="s">
        <v>48</v>
      </c>
      <c r="C466" t="s">
        <v>1031</v>
      </c>
      <c r="D466" t="s">
        <v>1032</v>
      </c>
      <c r="E466" t="s">
        <v>1033</v>
      </c>
      <c r="F466" t="s">
        <v>1034</v>
      </c>
      <c r="G466" t="s">
        <v>1051</v>
      </c>
      <c r="H466">
        <v>703500</v>
      </c>
      <c r="I466">
        <v>0</v>
      </c>
      <c r="J466" t="s">
        <v>50</v>
      </c>
      <c r="K466" t="s">
        <v>27</v>
      </c>
    </row>
    <row r="467" spans="1:11" x14ac:dyDescent="0.25">
      <c r="A467" t="s">
        <v>1052</v>
      </c>
      <c r="B467" t="s">
        <v>52</v>
      </c>
      <c r="C467" t="s">
        <v>1031</v>
      </c>
      <c r="D467" t="s">
        <v>1032</v>
      </c>
      <c r="E467" t="s">
        <v>1033</v>
      </c>
      <c r="F467" t="s">
        <v>1034</v>
      </c>
      <c r="G467" t="s">
        <v>1053</v>
      </c>
      <c r="H467">
        <v>603000</v>
      </c>
      <c r="I467">
        <v>0</v>
      </c>
      <c r="J467" t="s">
        <v>50</v>
      </c>
      <c r="K467" t="s">
        <v>40</v>
      </c>
    </row>
    <row r="468" spans="1:11" x14ac:dyDescent="0.25">
      <c r="A468" t="s">
        <v>1054</v>
      </c>
      <c r="B468" t="s">
        <v>55</v>
      </c>
      <c r="C468" t="s">
        <v>1031</v>
      </c>
      <c r="D468" t="s">
        <v>1032</v>
      </c>
      <c r="E468" t="s">
        <v>1033</v>
      </c>
      <c r="F468" t="s">
        <v>1034</v>
      </c>
      <c r="G468" t="s">
        <v>1055</v>
      </c>
      <c r="H468">
        <v>603000</v>
      </c>
      <c r="I468">
        <v>0</v>
      </c>
      <c r="J468" t="s">
        <v>50</v>
      </c>
      <c r="K468" t="s">
        <v>23</v>
      </c>
    </row>
    <row r="469" spans="1:11" x14ac:dyDescent="0.25">
      <c r="A469" t="s">
        <v>1056</v>
      </c>
      <c r="B469" t="s">
        <v>21</v>
      </c>
      <c r="C469" t="s">
        <v>1031</v>
      </c>
      <c r="D469" t="s">
        <v>1057</v>
      </c>
      <c r="E469" t="s">
        <v>1058</v>
      </c>
      <c r="F469" t="s">
        <v>1059</v>
      </c>
      <c r="G469" t="s">
        <v>1060</v>
      </c>
      <c r="H469">
        <v>12730</v>
      </c>
      <c r="I469">
        <v>12166.77</v>
      </c>
      <c r="J469" t="s">
        <v>18</v>
      </c>
      <c r="K469" t="s">
        <v>23</v>
      </c>
    </row>
    <row r="470" spans="1:11" x14ac:dyDescent="0.25">
      <c r="A470" t="s">
        <v>1061</v>
      </c>
      <c r="B470" t="s">
        <v>25</v>
      </c>
      <c r="C470" t="s">
        <v>1031</v>
      </c>
      <c r="D470" t="s">
        <v>1057</v>
      </c>
      <c r="E470" t="s">
        <v>1058</v>
      </c>
      <c r="F470" t="s">
        <v>1059</v>
      </c>
      <c r="G470" t="s">
        <v>1062</v>
      </c>
      <c r="H470">
        <v>25460</v>
      </c>
      <c r="I470">
        <v>24306.799999999999</v>
      </c>
      <c r="J470" t="s">
        <v>18</v>
      </c>
      <c r="K470" t="s">
        <v>27</v>
      </c>
    </row>
    <row r="471" spans="1:11" x14ac:dyDescent="0.25">
      <c r="A471" t="s">
        <v>1063</v>
      </c>
      <c r="B471" t="s">
        <v>29</v>
      </c>
      <c r="C471" t="s">
        <v>1031</v>
      </c>
      <c r="D471" t="s">
        <v>1057</v>
      </c>
      <c r="E471" t="s">
        <v>1058</v>
      </c>
      <c r="F471" t="s">
        <v>1059</v>
      </c>
      <c r="G471" t="s">
        <v>1064</v>
      </c>
      <c r="H471">
        <v>50920</v>
      </c>
      <c r="I471">
        <v>49356.72</v>
      </c>
      <c r="J471" t="s">
        <v>18</v>
      </c>
      <c r="K471" t="s">
        <v>23</v>
      </c>
    </row>
    <row r="472" spans="1:11" x14ac:dyDescent="0.25">
      <c r="A472" t="s">
        <v>1065</v>
      </c>
      <c r="B472" t="s">
        <v>32</v>
      </c>
      <c r="C472" t="s">
        <v>1031</v>
      </c>
      <c r="D472" t="s">
        <v>1057</v>
      </c>
      <c r="E472" t="s">
        <v>1058</v>
      </c>
      <c r="F472" t="s">
        <v>1059</v>
      </c>
      <c r="G472" t="s">
        <v>1066</v>
      </c>
      <c r="H472">
        <v>76380</v>
      </c>
      <c r="I472">
        <v>75374.22</v>
      </c>
      <c r="J472" t="s">
        <v>18</v>
      </c>
      <c r="K472" t="s">
        <v>40</v>
      </c>
    </row>
    <row r="473" spans="1:11" x14ac:dyDescent="0.25">
      <c r="A473" t="s">
        <v>1067</v>
      </c>
      <c r="B473" t="s">
        <v>35</v>
      </c>
      <c r="C473" t="s">
        <v>1031</v>
      </c>
      <c r="D473" t="s">
        <v>1057</v>
      </c>
      <c r="E473" t="s">
        <v>1058</v>
      </c>
      <c r="F473" t="s">
        <v>1059</v>
      </c>
      <c r="G473" t="s">
        <v>1068</v>
      </c>
      <c r="H473">
        <v>101840</v>
      </c>
      <c r="I473">
        <v>91543.57</v>
      </c>
      <c r="J473" t="s">
        <v>18</v>
      </c>
      <c r="K473" t="s">
        <v>23</v>
      </c>
    </row>
    <row r="474" spans="1:11" x14ac:dyDescent="0.25">
      <c r="A474" t="s">
        <v>1069</v>
      </c>
      <c r="B474" t="s">
        <v>38</v>
      </c>
      <c r="C474" t="s">
        <v>1031</v>
      </c>
      <c r="D474" t="s">
        <v>1057</v>
      </c>
      <c r="E474" t="s">
        <v>1058</v>
      </c>
      <c r="F474" t="s">
        <v>1059</v>
      </c>
      <c r="G474" t="s">
        <v>1070</v>
      </c>
      <c r="H474">
        <v>152760</v>
      </c>
      <c r="I474">
        <v>0</v>
      </c>
      <c r="J474" t="s">
        <v>50</v>
      </c>
      <c r="K474" t="s">
        <v>19</v>
      </c>
    </row>
    <row r="475" spans="1:11" x14ac:dyDescent="0.25">
      <c r="A475" t="s">
        <v>1071</v>
      </c>
      <c r="B475" t="s">
        <v>42</v>
      </c>
      <c r="C475" t="s">
        <v>1031</v>
      </c>
      <c r="D475" t="s">
        <v>1057</v>
      </c>
      <c r="E475" t="s">
        <v>1058</v>
      </c>
      <c r="F475" t="s">
        <v>1059</v>
      </c>
      <c r="G475" t="s">
        <v>1072</v>
      </c>
      <c r="H475">
        <v>178220</v>
      </c>
      <c r="I475">
        <v>0</v>
      </c>
      <c r="J475" t="s">
        <v>50</v>
      </c>
      <c r="K475" t="s">
        <v>19</v>
      </c>
    </row>
    <row r="476" spans="1:11" x14ac:dyDescent="0.25">
      <c r="A476" t="s">
        <v>1073</v>
      </c>
      <c r="B476" t="s">
        <v>45</v>
      </c>
      <c r="C476" t="s">
        <v>1031</v>
      </c>
      <c r="D476" t="s">
        <v>1057</v>
      </c>
      <c r="E476" t="s">
        <v>1058</v>
      </c>
      <c r="F476" t="s">
        <v>1059</v>
      </c>
      <c r="G476" t="s">
        <v>1074</v>
      </c>
      <c r="H476">
        <v>190950</v>
      </c>
      <c r="I476">
        <v>0</v>
      </c>
      <c r="J476" t="s">
        <v>50</v>
      </c>
      <c r="K476" t="s">
        <v>19</v>
      </c>
    </row>
    <row r="477" spans="1:11" x14ac:dyDescent="0.25">
      <c r="A477" t="s">
        <v>1075</v>
      </c>
      <c r="B477" t="s">
        <v>48</v>
      </c>
      <c r="C477" t="s">
        <v>1031</v>
      </c>
      <c r="D477" t="s">
        <v>1057</v>
      </c>
      <c r="E477" t="s">
        <v>1058</v>
      </c>
      <c r="F477" t="s">
        <v>1059</v>
      </c>
      <c r="G477" t="s">
        <v>1076</v>
      </c>
      <c r="H477">
        <v>178220</v>
      </c>
      <c r="I477">
        <v>0</v>
      </c>
      <c r="J477" t="s">
        <v>50</v>
      </c>
      <c r="K477" t="s">
        <v>27</v>
      </c>
    </row>
    <row r="478" spans="1:11" x14ac:dyDescent="0.25">
      <c r="A478" t="s">
        <v>1077</v>
      </c>
      <c r="B478" t="s">
        <v>52</v>
      </c>
      <c r="C478" t="s">
        <v>1031</v>
      </c>
      <c r="D478" t="s">
        <v>1057</v>
      </c>
      <c r="E478" t="s">
        <v>1058</v>
      </c>
      <c r="F478" t="s">
        <v>1059</v>
      </c>
      <c r="G478" t="s">
        <v>1078</v>
      </c>
      <c r="H478">
        <v>152760</v>
      </c>
      <c r="I478">
        <v>0</v>
      </c>
      <c r="J478" t="s">
        <v>50</v>
      </c>
      <c r="K478" t="s">
        <v>19</v>
      </c>
    </row>
    <row r="479" spans="1:11" x14ac:dyDescent="0.25">
      <c r="A479" t="s">
        <v>1079</v>
      </c>
      <c r="B479" t="s">
        <v>55</v>
      </c>
      <c r="C479" t="s">
        <v>1031</v>
      </c>
      <c r="D479" t="s">
        <v>1057</v>
      </c>
      <c r="E479" t="s">
        <v>1058</v>
      </c>
      <c r="F479" t="s">
        <v>1059</v>
      </c>
      <c r="G479" t="s">
        <v>1080</v>
      </c>
      <c r="H479">
        <v>152760</v>
      </c>
      <c r="I479">
        <v>0</v>
      </c>
      <c r="J479" t="s">
        <v>50</v>
      </c>
      <c r="K479" t="s">
        <v>27</v>
      </c>
    </row>
    <row r="480" spans="1:11" x14ac:dyDescent="0.25">
      <c r="A480" t="s">
        <v>1081</v>
      </c>
      <c r="B480" t="s">
        <v>21</v>
      </c>
      <c r="C480" t="s">
        <v>1031</v>
      </c>
      <c r="D480" t="s">
        <v>1082</v>
      </c>
      <c r="E480" t="s">
        <v>1083</v>
      </c>
      <c r="F480" t="s">
        <v>1084</v>
      </c>
      <c r="G480" t="s">
        <v>1085</v>
      </c>
      <c r="H480">
        <v>18450</v>
      </c>
      <c r="I480">
        <v>17791.32</v>
      </c>
      <c r="J480" t="s">
        <v>18</v>
      </c>
      <c r="K480" t="s">
        <v>19</v>
      </c>
    </row>
    <row r="481" spans="1:11" x14ac:dyDescent="0.25">
      <c r="A481" t="s">
        <v>1086</v>
      </c>
      <c r="B481" t="s">
        <v>25</v>
      </c>
      <c r="C481" t="s">
        <v>1031</v>
      </c>
      <c r="D481" t="s">
        <v>1082</v>
      </c>
      <c r="E481" t="s">
        <v>1083</v>
      </c>
      <c r="F481" t="s">
        <v>1084</v>
      </c>
      <c r="G481" t="s">
        <v>1087</v>
      </c>
      <c r="H481">
        <v>36900</v>
      </c>
      <c r="I481">
        <v>35971.730000000003</v>
      </c>
      <c r="J481" t="s">
        <v>18</v>
      </c>
      <c r="K481" t="s">
        <v>27</v>
      </c>
    </row>
    <row r="482" spans="1:11" x14ac:dyDescent="0.25">
      <c r="A482" t="s">
        <v>1088</v>
      </c>
      <c r="B482" t="s">
        <v>29</v>
      </c>
      <c r="C482" t="s">
        <v>1031</v>
      </c>
      <c r="D482" t="s">
        <v>1082</v>
      </c>
      <c r="E482" t="s">
        <v>1083</v>
      </c>
      <c r="F482" t="s">
        <v>1084</v>
      </c>
      <c r="G482" t="s">
        <v>1089</v>
      </c>
      <c r="H482">
        <v>73800</v>
      </c>
      <c r="I482">
        <v>72805.64</v>
      </c>
      <c r="J482" t="s">
        <v>18</v>
      </c>
      <c r="K482" t="s">
        <v>40</v>
      </c>
    </row>
    <row r="483" spans="1:11" x14ac:dyDescent="0.25">
      <c r="A483" t="s">
        <v>1090</v>
      </c>
      <c r="B483" t="s">
        <v>32</v>
      </c>
      <c r="C483" t="s">
        <v>1031</v>
      </c>
      <c r="D483" t="s">
        <v>1082</v>
      </c>
      <c r="E483" t="s">
        <v>1083</v>
      </c>
      <c r="F483" t="s">
        <v>1084</v>
      </c>
      <c r="G483" t="s">
        <v>1091</v>
      </c>
      <c r="H483">
        <v>110700</v>
      </c>
      <c r="I483">
        <v>100970.21</v>
      </c>
      <c r="J483" t="s">
        <v>18</v>
      </c>
      <c r="K483" t="s">
        <v>27</v>
      </c>
    </row>
    <row r="484" spans="1:11" x14ac:dyDescent="0.25">
      <c r="A484" t="s">
        <v>1092</v>
      </c>
      <c r="B484" t="s">
        <v>35</v>
      </c>
      <c r="C484" t="s">
        <v>1031</v>
      </c>
      <c r="D484" t="s">
        <v>1082</v>
      </c>
      <c r="E484" t="s">
        <v>1083</v>
      </c>
      <c r="F484" t="s">
        <v>1084</v>
      </c>
      <c r="G484" t="s">
        <v>1093</v>
      </c>
      <c r="H484">
        <v>147600</v>
      </c>
      <c r="I484">
        <v>129083.54</v>
      </c>
      <c r="J484" t="s">
        <v>18</v>
      </c>
      <c r="K484" t="s">
        <v>19</v>
      </c>
    </row>
    <row r="485" spans="1:11" x14ac:dyDescent="0.25">
      <c r="A485" t="s">
        <v>1094</v>
      </c>
      <c r="B485" t="s">
        <v>38</v>
      </c>
      <c r="C485" t="s">
        <v>1031</v>
      </c>
      <c r="D485" t="s">
        <v>1082</v>
      </c>
      <c r="E485" t="s">
        <v>1083</v>
      </c>
      <c r="F485" t="s">
        <v>1084</v>
      </c>
      <c r="G485" t="s">
        <v>1095</v>
      </c>
      <c r="H485">
        <v>221400</v>
      </c>
      <c r="I485">
        <v>0</v>
      </c>
      <c r="J485" t="s">
        <v>50</v>
      </c>
      <c r="K485" t="s">
        <v>19</v>
      </c>
    </row>
    <row r="486" spans="1:11" x14ac:dyDescent="0.25">
      <c r="A486" t="s">
        <v>1096</v>
      </c>
      <c r="B486" t="s">
        <v>42</v>
      </c>
      <c r="C486" t="s">
        <v>1031</v>
      </c>
      <c r="D486" t="s">
        <v>1082</v>
      </c>
      <c r="E486" t="s">
        <v>1083</v>
      </c>
      <c r="F486" t="s">
        <v>1084</v>
      </c>
      <c r="G486" t="s">
        <v>1097</v>
      </c>
      <c r="H486">
        <v>258300</v>
      </c>
      <c r="I486">
        <v>0</v>
      </c>
      <c r="J486" t="s">
        <v>50</v>
      </c>
      <c r="K486" t="s">
        <v>19</v>
      </c>
    </row>
    <row r="487" spans="1:11" x14ac:dyDescent="0.25">
      <c r="A487" t="s">
        <v>1098</v>
      </c>
      <c r="B487" t="s">
        <v>45</v>
      </c>
      <c r="C487" t="s">
        <v>1031</v>
      </c>
      <c r="D487" t="s">
        <v>1082</v>
      </c>
      <c r="E487" t="s">
        <v>1083</v>
      </c>
      <c r="F487" t="s">
        <v>1084</v>
      </c>
      <c r="G487" t="s">
        <v>1099</v>
      </c>
      <c r="H487">
        <v>276750</v>
      </c>
      <c r="I487">
        <v>0</v>
      </c>
      <c r="J487" t="s">
        <v>50</v>
      </c>
      <c r="K487" t="s">
        <v>23</v>
      </c>
    </row>
    <row r="488" spans="1:11" x14ac:dyDescent="0.25">
      <c r="A488" t="s">
        <v>1100</v>
      </c>
      <c r="B488" t="s">
        <v>48</v>
      </c>
      <c r="C488" t="s">
        <v>1031</v>
      </c>
      <c r="D488" t="s">
        <v>1082</v>
      </c>
      <c r="E488" t="s">
        <v>1083</v>
      </c>
      <c r="F488" t="s">
        <v>1084</v>
      </c>
      <c r="G488" t="s">
        <v>1101</v>
      </c>
      <c r="H488">
        <v>258300</v>
      </c>
      <c r="I488">
        <v>0</v>
      </c>
      <c r="J488" t="s">
        <v>50</v>
      </c>
      <c r="K488" t="s">
        <v>27</v>
      </c>
    </row>
    <row r="489" spans="1:11" x14ac:dyDescent="0.25">
      <c r="A489" t="s">
        <v>1102</v>
      </c>
      <c r="B489" t="s">
        <v>52</v>
      </c>
      <c r="C489" t="s">
        <v>1031</v>
      </c>
      <c r="D489" t="s">
        <v>1082</v>
      </c>
      <c r="E489" t="s">
        <v>1083</v>
      </c>
      <c r="F489" t="s">
        <v>1084</v>
      </c>
      <c r="G489" t="s">
        <v>1103</v>
      </c>
      <c r="H489">
        <v>221400</v>
      </c>
      <c r="I489">
        <v>0</v>
      </c>
      <c r="J489" t="s">
        <v>50</v>
      </c>
      <c r="K489" t="s">
        <v>27</v>
      </c>
    </row>
    <row r="490" spans="1:11" x14ac:dyDescent="0.25">
      <c r="A490" t="s">
        <v>1104</v>
      </c>
      <c r="B490" t="s">
        <v>55</v>
      </c>
      <c r="C490" t="s">
        <v>1031</v>
      </c>
      <c r="D490" t="s">
        <v>1082</v>
      </c>
      <c r="E490" t="s">
        <v>1083</v>
      </c>
      <c r="F490" t="s">
        <v>1084</v>
      </c>
      <c r="G490" t="s">
        <v>1105</v>
      </c>
      <c r="H490">
        <v>221400</v>
      </c>
      <c r="I490">
        <v>0</v>
      </c>
      <c r="J490" t="s">
        <v>50</v>
      </c>
      <c r="K490" t="s">
        <v>23</v>
      </c>
    </row>
    <row r="491" spans="1:11" x14ac:dyDescent="0.25">
      <c r="A491" t="s">
        <v>1106</v>
      </c>
      <c r="B491" t="s">
        <v>21</v>
      </c>
      <c r="C491" t="s">
        <v>1031</v>
      </c>
      <c r="D491" t="s">
        <v>1107</v>
      </c>
      <c r="E491" t="s">
        <v>1108</v>
      </c>
      <c r="F491" t="s">
        <v>1084</v>
      </c>
      <c r="G491" t="s">
        <v>1109</v>
      </c>
      <c r="H491">
        <v>34870</v>
      </c>
      <c r="I491">
        <v>33380.22</v>
      </c>
      <c r="J491" t="s">
        <v>18</v>
      </c>
      <c r="K491" t="s">
        <v>23</v>
      </c>
    </row>
    <row r="492" spans="1:11" x14ac:dyDescent="0.25">
      <c r="A492" t="s">
        <v>1110</v>
      </c>
      <c r="B492" t="s">
        <v>25</v>
      </c>
      <c r="C492" t="s">
        <v>1031</v>
      </c>
      <c r="D492" t="s">
        <v>1107</v>
      </c>
      <c r="E492" t="s">
        <v>1108</v>
      </c>
      <c r="F492" t="s">
        <v>1084</v>
      </c>
      <c r="G492" t="s">
        <v>1111</v>
      </c>
      <c r="H492">
        <v>69740</v>
      </c>
      <c r="I492">
        <v>68385.42</v>
      </c>
      <c r="J492" t="s">
        <v>18</v>
      </c>
      <c r="K492" t="s">
        <v>23</v>
      </c>
    </row>
    <row r="493" spans="1:11" x14ac:dyDescent="0.25">
      <c r="A493" t="s">
        <v>1112</v>
      </c>
      <c r="B493" t="s">
        <v>29</v>
      </c>
      <c r="C493" t="s">
        <v>1031</v>
      </c>
      <c r="D493" t="s">
        <v>1107</v>
      </c>
      <c r="E493" t="s">
        <v>1108</v>
      </c>
      <c r="F493" t="s">
        <v>1084</v>
      </c>
      <c r="G493" t="s">
        <v>1113</v>
      </c>
      <c r="H493">
        <v>139480</v>
      </c>
      <c r="I493">
        <v>138797.75</v>
      </c>
      <c r="J493" t="s">
        <v>18</v>
      </c>
      <c r="K493" t="s">
        <v>40</v>
      </c>
    </row>
    <row r="494" spans="1:11" x14ac:dyDescent="0.25">
      <c r="A494" t="s">
        <v>1114</v>
      </c>
      <c r="B494" t="s">
        <v>32</v>
      </c>
      <c r="C494" t="s">
        <v>1031</v>
      </c>
      <c r="D494" t="s">
        <v>1107</v>
      </c>
      <c r="E494" t="s">
        <v>1108</v>
      </c>
      <c r="F494" t="s">
        <v>1084</v>
      </c>
      <c r="G494" t="s">
        <v>1115</v>
      </c>
      <c r="H494">
        <v>209220</v>
      </c>
      <c r="I494">
        <v>190437.93</v>
      </c>
      <c r="J494" t="s">
        <v>18</v>
      </c>
      <c r="K494" t="s">
        <v>23</v>
      </c>
    </row>
    <row r="495" spans="1:11" x14ac:dyDescent="0.25">
      <c r="A495" t="s">
        <v>1116</v>
      </c>
      <c r="B495" t="s">
        <v>35</v>
      </c>
      <c r="C495" t="s">
        <v>1031</v>
      </c>
      <c r="D495" t="s">
        <v>1107</v>
      </c>
      <c r="E495" t="s">
        <v>1108</v>
      </c>
      <c r="F495" t="s">
        <v>1084</v>
      </c>
      <c r="G495" t="s">
        <v>1117</v>
      </c>
      <c r="H495">
        <v>278960</v>
      </c>
      <c r="I495">
        <v>243983</v>
      </c>
      <c r="J495" t="s">
        <v>18</v>
      </c>
      <c r="K495" t="s">
        <v>19</v>
      </c>
    </row>
    <row r="496" spans="1:11" x14ac:dyDescent="0.25">
      <c r="A496" t="s">
        <v>1118</v>
      </c>
      <c r="B496" t="s">
        <v>38</v>
      </c>
      <c r="C496" t="s">
        <v>1031</v>
      </c>
      <c r="D496" t="s">
        <v>1107</v>
      </c>
      <c r="E496" t="s">
        <v>1108</v>
      </c>
      <c r="F496" t="s">
        <v>1084</v>
      </c>
      <c r="G496" t="s">
        <v>1119</v>
      </c>
      <c r="H496">
        <v>418440</v>
      </c>
      <c r="I496">
        <v>0</v>
      </c>
      <c r="J496" t="s">
        <v>50</v>
      </c>
      <c r="K496" t="s">
        <v>23</v>
      </c>
    </row>
    <row r="497" spans="1:11" x14ac:dyDescent="0.25">
      <c r="A497" t="s">
        <v>1120</v>
      </c>
      <c r="B497" t="s">
        <v>42</v>
      </c>
      <c r="C497" t="s">
        <v>1031</v>
      </c>
      <c r="D497" t="s">
        <v>1107</v>
      </c>
      <c r="E497" t="s">
        <v>1108</v>
      </c>
      <c r="F497" t="s">
        <v>1084</v>
      </c>
      <c r="G497" t="s">
        <v>1121</v>
      </c>
      <c r="H497">
        <v>488180</v>
      </c>
      <c r="I497">
        <v>0</v>
      </c>
      <c r="J497" t="s">
        <v>50</v>
      </c>
      <c r="K497" t="s">
        <v>23</v>
      </c>
    </row>
    <row r="498" spans="1:11" x14ac:dyDescent="0.25">
      <c r="A498" t="s">
        <v>1122</v>
      </c>
      <c r="B498" t="s">
        <v>45</v>
      </c>
      <c r="C498" t="s">
        <v>1031</v>
      </c>
      <c r="D498" t="s">
        <v>1107</v>
      </c>
      <c r="E498" t="s">
        <v>1108</v>
      </c>
      <c r="F498" t="s">
        <v>1084</v>
      </c>
      <c r="G498" t="s">
        <v>1123</v>
      </c>
      <c r="H498">
        <v>523050</v>
      </c>
      <c r="I498">
        <v>0</v>
      </c>
      <c r="J498" t="s">
        <v>50</v>
      </c>
      <c r="K498" t="s">
        <v>40</v>
      </c>
    </row>
    <row r="499" spans="1:11" x14ac:dyDescent="0.25">
      <c r="A499" t="s">
        <v>1124</v>
      </c>
      <c r="B499" t="s">
        <v>48</v>
      </c>
      <c r="C499" t="s">
        <v>1031</v>
      </c>
      <c r="D499" t="s">
        <v>1107</v>
      </c>
      <c r="E499" t="s">
        <v>1108</v>
      </c>
      <c r="F499" t="s">
        <v>1084</v>
      </c>
      <c r="G499" t="s">
        <v>1125</v>
      </c>
      <c r="H499">
        <v>488180</v>
      </c>
      <c r="I499">
        <v>0</v>
      </c>
      <c r="J499" t="s">
        <v>50</v>
      </c>
      <c r="K499" t="s">
        <v>40</v>
      </c>
    </row>
    <row r="500" spans="1:11" x14ac:dyDescent="0.25">
      <c r="A500" t="s">
        <v>1126</v>
      </c>
      <c r="B500" t="s">
        <v>52</v>
      </c>
      <c r="C500" t="s">
        <v>1031</v>
      </c>
      <c r="D500" t="s">
        <v>1107</v>
      </c>
      <c r="E500" t="s">
        <v>1108</v>
      </c>
      <c r="F500" t="s">
        <v>1084</v>
      </c>
      <c r="G500" t="s">
        <v>1127</v>
      </c>
      <c r="H500">
        <v>418440</v>
      </c>
      <c r="I500">
        <v>0</v>
      </c>
      <c r="J500" t="s">
        <v>50</v>
      </c>
      <c r="K500" t="s">
        <v>40</v>
      </c>
    </row>
    <row r="501" spans="1:11" x14ac:dyDescent="0.25">
      <c r="A501" t="s">
        <v>1128</v>
      </c>
      <c r="B501" t="s">
        <v>55</v>
      </c>
      <c r="C501" t="s">
        <v>1031</v>
      </c>
      <c r="D501" t="s">
        <v>1107</v>
      </c>
      <c r="E501" t="s">
        <v>1108</v>
      </c>
      <c r="F501" t="s">
        <v>1084</v>
      </c>
      <c r="G501" t="s">
        <v>1129</v>
      </c>
      <c r="H501">
        <v>418440</v>
      </c>
      <c r="I501">
        <v>0</v>
      </c>
      <c r="J501" t="s">
        <v>50</v>
      </c>
      <c r="K501" t="s">
        <v>23</v>
      </c>
    </row>
    <row r="502" spans="1:11" x14ac:dyDescent="0.25">
      <c r="A502" t="s">
        <v>1130</v>
      </c>
      <c r="B502" t="s">
        <v>21</v>
      </c>
      <c r="C502" t="s">
        <v>1031</v>
      </c>
      <c r="D502" t="s">
        <v>1131</v>
      </c>
      <c r="E502" t="s">
        <v>1132</v>
      </c>
      <c r="F502" t="s">
        <v>1059</v>
      </c>
      <c r="G502" t="s">
        <v>1133</v>
      </c>
      <c r="H502">
        <v>15090</v>
      </c>
      <c r="I502">
        <v>14900.27</v>
      </c>
      <c r="J502" t="s">
        <v>18</v>
      </c>
      <c r="K502" t="s">
        <v>40</v>
      </c>
    </row>
    <row r="503" spans="1:11" x14ac:dyDescent="0.25">
      <c r="A503" t="s">
        <v>1134</v>
      </c>
      <c r="B503" t="s">
        <v>25</v>
      </c>
      <c r="C503" t="s">
        <v>1031</v>
      </c>
      <c r="D503" t="s">
        <v>1131</v>
      </c>
      <c r="E503" t="s">
        <v>1132</v>
      </c>
      <c r="F503" t="s">
        <v>1059</v>
      </c>
      <c r="G503" t="s">
        <v>1135</v>
      </c>
      <c r="H503">
        <v>30180</v>
      </c>
      <c r="I503">
        <v>28300.12</v>
      </c>
      <c r="J503" t="s">
        <v>18</v>
      </c>
      <c r="K503" t="s">
        <v>27</v>
      </c>
    </row>
    <row r="504" spans="1:11" x14ac:dyDescent="0.25">
      <c r="A504" t="s">
        <v>1136</v>
      </c>
      <c r="B504" t="s">
        <v>29</v>
      </c>
      <c r="C504" t="s">
        <v>1031</v>
      </c>
      <c r="D504" t="s">
        <v>1131</v>
      </c>
      <c r="E504" t="s">
        <v>1132</v>
      </c>
      <c r="F504" t="s">
        <v>1059</v>
      </c>
      <c r="G504" t="s">
        <v>1137</v>
      </c>
      <c r="H504">
        <v>60360</v>
      </c>
      <c r="I504">
        <v>60691.86</v>
      </c>
      <c r="J504" t="s">
        <v>18</v>
      </c>
      <c r="K504" t="s">
        <v>19</v>
      </c>
    </row>
    <row r="505" spans="1:11" x14ac:dyDescent="0.25">
      <c r="A505" t="s">
        <v>1138</v>
      </c>
      <c r="B505" t="s">
        <v>32</v>
      </c>
      <c r="C505" t="s">
        <v>1031</v>
      </c>
      <c r="D505" t="s">
        <v>1131</v>
      </c>
      <c r="E505" t="s">
        <v>1132</v>
      </c>
      <c r="F505" t="s">
        <v>1059</v>
      </c>
      <c r="G505" t="s">
        <v>1139</v>
      </c>
      <c r="H505">
        <v>90540</v>
      </c>
      <c r="I505">
        <v>89859.92</v>
      </c>
      <c r="J505" t="s">
        <v>18</v>
      </c>
      <c r="K505" t="s">
        <v>19</v>
      </c>
    </row>
    <row r="506" spans="1:11" x14ac:dyDescent="0.25">
      <c r="A506" t="s">
        <v>1140</v>
      </c>
      <c r="B506" t="s">
        <v>35</v>
      </c>
      <c r="C506" t="s">
        <v>1031</v>
      </c>
      <c r="D506" t="s">
        <v>1131</v>
      </c>
      <c r="E506" t="s">
        <v>1132</v>
      </c>
      <c r="F506" t="s">
        <v>1059</v>
      </c>
      <c r="G506" t="s">
        <v>1141</v>
      </c>
      <c r="H506">
        <v>120720</v>
      </c>
      <c r="I506">
        <v>115510.64</v>
      </c>
      <c r="J506" t="s">
        <v>18</v>
      </c>
      <c r="K506" t="s">
        <v>23</v>
      </c>
    </row>
    <row r="507" spans="1:11" x14ac:dyDescent="0.25">
      <c r="A507" t="s">
        <v>1142</v>
      </c>
      <c r="B507" t="s">
        <v>38</v>
      </c>
      <c r="C507" t="s">
        <v>1031</v>
      </c>
      <c r="D507" t="s">
        <v>1131</v>
      </c>
      <c r="E507" t="s">
        <v>1132</v>
      </c>
      <c r="F507" t="s">
        <v>1059</v>
      </c>
      <c r="G507" t="s">
        <v>1143</v>
      </c>
      <c r="H507">
        <v>181080</v>
      </c>
      <c r="I507">
        <v>0</v>
      </c>
      <c r="J507" t="s">
        <v>50</v>
      </c>
      <c r="K507" t="s">
        <v>23</v>
      </c>
    </row>
    <row r="508" spans="1:11" x14ac:dyDescent="0.25">
      <c r="A508" t="s">
        <v>1144</v>
      </c>
      <c r="B508" t="s">
        <v>42</v>
      </c>
      <c r="C508" t="s">
        <v>1031</v>
      </c>
      <c r="D508" t="s">
        <v>1131</v>
      </c>
      <c r="E508" t="s">
        <v>1132</v>
      </c>
      <c r="F508" t="s">
        <v>1059</v>
      </c>
      <c r="G508" t="s">
        <v>1145</v>
      </c>
      <c r="H508">
        <v>211260</v>
      </c>
      <c r="I508">
        <v>0</v>
      </c>
      <c r="J508" t="s">
        <v>50</v>
      </c>
      <c r="K508" t="s">
        <v>27</v>
      </c>
    </row>
    <row r="509" spans="1:11" x14ac:dyDescent="0.25">
      <c r="A509" t="s">
        <v>1146</v>
      </c>
      <c r="B509" t="s">
        <v>45</v>
      </c>
      <c r="C509" t="s">
        <v>1031</v>
      </c>
      <c r="D509" t="s">
        <v>1131</v>
      </c>
      <c r="E509" t="s">
        <v>1132</v>
      </c>
      <c r="F509" t="s">
        <v>1059</v>
      </c>
      <c r="G509" t="s">
        <v>1147</v>
      </c>
      <c r="H509">
        <v>226350</v>
      </c>
      <c r="I509">
        <v>0</v>
      </c>
      <c r="J509" t="s">
        <v>50</v>
      </c>
      <c r="K509" t="s">
        <v>40</v>
      </c>
    </row>
    <row r="510" spans="1:11" x14ac:dyDescent="0.25">
      <c r="A510" t="s">
        <v>1148</v>
      </c>
      <c r="B510" t="s">
        <v>48</v>
      </c>
      <c r="C510" t="s">
        <v>1031</v>
      </c>
      <c r="D510" t="s">
        <v>1131</v>
      </c>
      <c r="E510" t="s">
        <v>1132</v>
      </c>
      <c r="F510" t="s">
        <v>1059</v>
      </c>
      <c r="G510" t="s">
        <v>1149</v>
      </c>
      <c r="H510">
        <v>211260</v>
      </c>
      <c r="I510">
        <v>0</v>
      </c>
      <c r="J510" t="s">
        <v>50</v>
      </c>
      <c r="K510" t="s">
        <v>23</v>
      </c>
    </row>
    <row r="511" spans="1:11" x14ac:dyDescent="0.25">
      <c r="A511" t="s">
        <v>1150</v>
      </c>
      <c r="B511" t="s">
        <v>52</v>
      </c>
      <c r="C511" t="s">
        <v>1031</v>
      </c>
      <c r="D511" t="s">
        <v>1131</v>
      </c>
      <c r="E511" t="s">
        <v>1132</v>
      </c>
      <c r="F511" t="s">
        <v>1059</v>
      </c>
      <c r="G511" t="s">
        <v>1151</v>
      </c>
      <c r="H511">
        <v>181080</v>
      </c>
      <c r="I511">
        <v>0</v>
      </c>
      <c r="J511" t="s">
        <v>50</v>
      </c>
      <c r="K511" t="s">
        <v>19</v>
      </c>
    </row>
    <row r="512" spans="1:11" x14ac:dyDescent="0.25">
      <c r="A512" t="s">
        <v>1152</v>
      </c>
      <c r="B512" t="s">
        <v>55</v>
      </c>
      <c r="C512" t="s">
        <v>1031</v>
      </c>
      <c r="D512" t="s">
        <v>1131</v>
      </c>
      <c r="E512" t="s">
        <v>1132</v>
      </c>
      <c r="F512" t="s">
        <v>1059</v>
      </c>
      <c r="G512" t="s">
        <v>1153</v>
      </c>
      <c r="H512">
        <v>181080</v>
      </c>
      <c r="I512">
        <v>0</v>
      </c>
      <c r="J512" t="s">
        <v>50</v>
      </c>
      <c r="K512" t="s">
        <v>19</v>
      </c>
    </row>
    <row r="513" spans="1:11" x14ac:dyDescent="0.25">
      <c r="A513" t="s">
        <v>1154</v>
      </c>
      <c r="B513" t="s">
        <v>21</v>
      </c>
      <c r="C513" t="s">
        <v>1031</v>
      </c>
      <c r="D513" t="s">
        <v>1155</v>
      </c>
      <c r="E513" t="s">
        <v>1156</v>
      </c>
      <c r="F513" t="s">
        <v>1034</v>
      </c>
      <c r="G513" t="s">
        <v>1157</v>
      </c>
      <c r="H513">
        <v>33220</v>
      </c>
      <c r="I513">
        <v>32808.93</v>
      </c>
      <c r="J513" t="s">
        <v>18</v>
      </c>
      <c r="K513" t="s">
        <v>23</v>
      </c>
    </row>
    <row r="514" spans="1:11" x14ac:dyDescent="0.25">
      <c r="A514" t="s">
        <v>1158</v>
      </c>
      <c r="B514" t="s">
        <v>25</v>
      </c>
      <c r="C514" t="s">
        <v>1031</v>
      </c>
      <c r="D514" t="s">
        <v>1155</v>
      </c>
      <c r="E514" t="s">
        <v>1156</v>
      </c>
      <c r="F514" t="s">
        <v>1034</v>
      </c>
      <c r="G514" t="s">
        <v>1159</v>
      </c>
      <c r="H514">
        <v>66440</v>
      </c>
      <c r="I514">
        <v>60489.14</v>
      </c>
      <c r="J514" t="s">
        <v>18</v>
      </c>
      <c r="K514" t="s">
        <v>40</v>
      </c>
    </row>
    <row r="515" spans="1:11" x14ac:dyDescent="0.25">
      <c r="A515" t="s">
        <v>1160</v>
      </c>
      <c r="B515" t="s">
        <v>29</v>
      </c>
      <c r="C515" t="s">
        <v>1031</v>
      </c>
      <c r="D515" t="s">
        <v>1155</v>
      </c>
      <c r="E515" t="s">
        <v>1156</v>
      </c>
      <c r="F515" t="s">
        <v>1034</v>
      </c>
      <c r="G515" t="s">
        <v>1161</v>
      </c>
      <c r="H515">
        <v>132880</v>
      </c>
      <c r="I515">
        <v>133148.66</v>
      </c>
      <c r="J515" t="s">
        <v>18</v>
      </c>
      <c r="K515" t="s">
        <v>40</v>
      </c>
    </row>
    <row r="516" spans="1:11" x14ac:dyDescent="0.25">
      <c r="A516" t="s">
        <v>1162</v>
      </c>
      <c r="B516" t="s">
        <v>32</v>
      </c>
      <c r="C516" t="s">
        <v>1031</v>
      </c>
      <c r="D516" t="s">
        <v>1155</v>
      </c>
      <c r="E516" t="s">
        <v>1156</v>
      </c>
      <c r="F516" t="s">
        <v>1034</v>
      </c>
      <c r="G516" t="s">
        <v>1163</v>
      </c>
      <c r="H516">
        <v>199320</v>
      </c>
      <c r="I516">
        <v>190459.91</v>
      </c>
      <c r="J516" t="s">
        <v>18</v>
      </c>
      <c r="K516" t="s">
        <v>27</v>
      </c>
    </row>
    <row r="517" spans="1:11" x14ac:dyDescent="0.25">
      <c r="A517" t="s">
        <v>1164</v>
      </c>
      <c r="B517" t="s">
        <v>35</v>
      </c>
      <c r="C517" t="s">
        <v>1031</v>
      </c>
      <c r="D517" t="s">
        <v>1155</v>
      </c>
      <c r="E517" t="s">
        <v>1156</v>
      </c>
      <c r="F517" t="s">
        <v>1034</v>
      </c>
      <c r="G517" t="s">
        <v>1165</v>
      </c>
      <c r="H517">
        <v>265760</v>
      </c>
      <c r="I517">
        <v>240668.34</v>
      </c>
      <c r="J517" t="s">
        <v>18</v>
      </c>
      <c r="K517" t="s">
        <v>23</v>
      </c>
    </row>
    <row r="518" spans="1:11" x14ac:dyDescent="0.25">
      <c r="A518" t="s">
        <v>1166</v>
      </c>
      <c r="B518" t="s">
        <v>38</v>
      </c>
      <c r="C518" t="s">
        <v>1031</v>
      </c>
      <c r="D518" t="s">
        <v>1155</v>
      </c>
      <c r="E518" t="s">
        <v>1156</v>
      </c>
      <c r="F518" t="s">
        <v>1034</v>
      </c>
      <c r="G518" t="s">
        <v>1167</v>
      </c>
      <c r="H518">
        <v>398640</v>
      </c>
      <c r="I518">
        <v>0</v>
      </c>
      <c r="J518" t="s">
        <v>50</v>
      </c>
      <c r="K518" t="s">
        <v>40</v>
      </c>
    </row>
    <row r="519" spans="1:11" x14ac:dyDescent="0.25">
      <c r="A519" t="s">
        <v>1168</v>
      </c>
      <c r="B519" t="s">
        <v>42</v>
      </c>
      <c r="C519" t="s">
        <v>1031</v>
      </c>
      <c r="D519" t="s">
        <v>1155</v>
      </c>
      <c r="E519" t="s">
        <v>1156</v>
      </c>
      <c r="F519" t="s">
        <v>1034</v>
      </c>
      <c r="G519" t="s">
        <v>1169</v>
      </c>
      <c r="H519">
        <v>465080</v>
      </c>
      <c r="I519">
        <v>0</v>
      </c>
      <c r="J519" t="s">
        <v>50</v>
      </c>
      <c r="K519" t="s">
        <v>23</v>
      </c>
    </row>
    <row r="520" spans="1:11" x14ac:dyDescent="0.25">
      <c r="A520" t="s">
        <v>1170</v>
      </c>
      <c r="B520" t="s">
        <v>45</v>
      </c>
      <c r="C520" t="s">
        <v>1031</v>
      </c>
      <c r="D520" t="s">
        <v>1155</v>
      </c>
      <c r="E520" t="s">
        <v>1156</v>
      </c>
      <c r="F520" t="s">
        <v>1034</v>
      </c>
      <c r="G520" t="s">
        <v>1171</v>
      </c>
      <c r="H520">
        <v>498300</v>
      </c>
      <c r="I520">
        <v>0</v>
      </c>
      <c r="J520" t="s">
        <v>50</v>
      </c>
      <c r="K520" t="s">
        <v>27</v>
      </c>
    </row>
    <row r="521" spans="1:11" x14ac:dyDescent="0.25">
      <c r="A521" t="s">
        <v>1172</v>
      </c>
      <c r="B521" t="s">
        <v>48</v>
      </c>
      <c r="C521" t="s">
        <v>1031</v>
      </c>
      <c r="D521" t="s">
        <v>1155</v>
      </c>
      <c r="E521" t="s">
        <v>1156</v>
      </c>
      <c r="F521" t="s">
        <v>1034</v>
      </c>
      <c r="G521" t="s">
        <v>1173</v>
      </c>
      <c r="H521">
        <v>465080</v>
      </c>
      <c r="I521">
        <v>0</v>
      </c>
      <c r="J521" t="s">
        <v>50</v>
      </c>
      <c r="K521" t="s">
        <v>40</v>
      </c>
    </row>
    <row r="522" spans="1:11" x14ac:dyDescent="0.25">
      <c r="A522" t="s">
        <v>1174</v>
      </c>
      <c r="B522" t="s">
        <v>52</v>
      </c>
      <c r="C522" t="s">
        <v>1031</v>
      </c>
      <c r="D522" t="s">
        <v>1155</v>
      </c>
      <c r="E522" t="s">
        <v>1156</v>
      </c>
      <c r="F522" t="s">
        <v>1034</v>
      </c>
      <c r="G522" t="s">
        <v>1175</v>
      </c>
      <c r="H522">
        <v>398640</v>
      </c>
      <c r="I522">
        <v>0</v>
      </c>
      <c r="J522" t="s">
        <v>50</v>
      </c>
      <c r="K522" t="s">
        <v>40</v>
      </c>
    </row>
    <row r="523" spans="1:11" x14ac:dyDescent="0.25">
      <c r="A523" t="s">
        <v>1176</v>
      </c>
      <c r="B523" t="s">
        <v>55</v>
      </c>
      <c r="C523" t="s">
        <v>1031</v>
      </c>
      <c r="D523" t="s">
        <v>1155</v>
      </c>
      <c r="E523" t="s">
        <v>1156</v>
      </c>
      <c r="F523" t="s">
        <v>1034</v>
      </c>
      <c r="G523" t="s">
        <v>1177</v>
      </c>
      <c r="H523">
        <v>398640</v>
      </c>
      <c r="I523">
        <v>0</v>
      </c>
      <c r="J523" t="s">
        <v>50</v>
      </c>
      <c r="K523" t="s">
        <v>23</v>
      </c>
    </row>
    <row r="524" spans="1:11" x14ac:dyDescent="0.25">
      <c r="A524" t="s">
        <v>1178</v>
      </c>
      <c r="B524" t="s">
        <v>21</v>
      </c>
      <c r="C524" t="s">
        <v>1031</v>
      </c>
      <c r="D524" t="s">
        <v>1179</v>
      </c>
      <c r="E524" t="s">
        <v>1180</v>
      </c>
      <c r="F524" t="s">
        <v>1084</v>
      </c>
      <c r="G524" t="s">
        <v>1181</v>
      </c>
      <c r="H524">
        <v>14700</v>
      </c>
      <c r="I524">
        <v>14128.46</v>
      </c>
      <c r="J524" t="s">
        <v>18</v>
      </c>
      <c r="K524" t="s">
        <v>40</v>
      </c>
    </row>
    <row r="525" spans="1:11" x14ac:dyDescent="0.25">
      <c r="A525" t="s">
        <v>1182</v>
      </c>
      <c r="B525" t="s">
        <v>25</v>
      </c>
      <c r="C525" t="s">
        <v>1031</v>
      </c>
      <c r="D525" t="s">
        <v>1179</v>
      </c>
      <c r="E525" t="s">
        <v>1180</v>
      </c>
      <c r="F525" t="s">
        <v>1084</v>
      </c>
      <c r="G525" t="s">
        <v>1183</v>
      </c>
      <c r="H525">
        <v>29400</v>
      </c>
      <c r="I525">
        <v>27909.4</v>
      </c>
      <c r="J525" t="s">
        <v>18</v>
      </c>
      <c r="K525" t="s">
        <v>19</v>
      </c>
    </row>
    <row r="526" spans="1:11" x14ac:dyDescent="0.25">
      <c r="A526" t="s">
        <v>1184</v>
      </c>
      <c r="B526" t="s">
        <v>29</v>
      </c>
      <c r="C526" t="s">
        <v>1031</v>
      </c>
      <c r="D526" t="s">
        <v>1179</v>
      </c>
      <c r="E526" t="s">
        <v>1180</v>
      </c>
      <c r="F526" t="s">
        <v>1084</v>
      </c>
      <c r="G526" t="s">
        <v>1185</v>
      </c>
      <c r="H526">
        <v>58800</v>
      </c>
      <c r="I526">
        <v>54528.59</v>
      </c>
      <c r="J526" t="s">
        <v>18</v>
      </c>
      <c r="K526" t="s">
        <v>40</v>
      </c>
    </row>
    <row r="527" spans="1:11" x14ac:dyDescent="0.25">
      <c r="A527" t="s">
        <v>1186</v>
      </c>
      <c r="B527" t="s">
        <v>32</v>
      </c>
      <c r="C527" t="s">
        <v>1031</v>
      </c>
      <c r="D527" t="s">
        <v>1179</v>
      </c>
      <c r="E527" t="s">
        <v>1180</v>
      </c>
      <c r="F527" t="s">
        <v>1084</v>
      </c>
      <c r="G527" t="s">
        <v>1187</v>
      </c>
      <c r="H527">
        <v>88200</v>
      </c>
      <c r="I527">
        <v>83527.41</v>
      </c>
      <c r="J527" t="s">
        <v>18</v>
      </c>
      <c r="K527" t="s">
        <v>27</v>
      </c>
    </row>
    <row r="528" spans="1:11" x14ac:dyDescent="0.25">
      <c r="A528" t="s">
        <v>1188</v>
      </c>
      <c r="B528" t="s">
        <v>35</v>
      </c>
      <c r="C528" t="s">
        <v>1031</v>
      </c>
      <c r="D528" t="s">
        <v>1179</v>
      </c>
      <c r="E528" t="s">
        <v>1180</v>
      </c>
      <c r="F528" t="s">
        <v>1084</v>
      </c>
      <c r="G528" t="s">
        <v>1189</v>
      </c>
      <c r="H528">
        <v>117600</v>
      </c>
      <c r="I528">
        <v>102548.69</v>
      </c>
      <c r="J528" t="s">
        <v>18</v>
      </c>
      <c r="K528" t="s">
        <v>27</v>
      </c>
    </row>
    <row r="529" spans="1:11" x14ac:dyDescent="0.25">
      <c r="A529" t="s">
        <v>1190</v>
      </c>
      <c r="B529" t="s">
        <v>38</v>
      </c>
      <c r="C529" t="s">
        <v>1031</v>
      </c>
      <c r="D529" t="s">
        <v>1179</v>
      </c>
      <c r="E529" t="s">
        <v>1180</v>
      </c>
      <c r="F529" t="s">
        <v>1084</v>
      </c>
      <c r="G529" t="s">
        <v>1191</v>
      </c>
      <c r="H529">
        <v>176400</v>
      </c>
      <c r="I529">
        <v>0</v>
      </c>
      <c r="J529" t="s">
        <v>50</v>
      </c>
      <c r="K529" t="s">
        <v>27</v>
      </c>
    </row>
    <row r="530" spans="1:11" x14ac:dyDescent="0.25">
      <c r="A530" t="s">
        <v>1192</v>
      </c>
      <c r="B530" t="s">
        <v>42</v>
      </c>
      <c r="C530" t="s">
        <v>1031</v>
      </c>
      <c r="D530" t="s">
        <v>1179</v>
      </c>
      <c r="E530" t="s">
        <v>1180</v>
      </c>
      <c r="F530" t="s">
        <v>1084</v>
      </c>
      <c r="G530" t="s">
        <v>1193</v>
      </c>
      <c r="H530">
        <v>205800</v>
      </c>
      <c r="I530">
        <v>0</v>
      </c>
      <c r="J530" t="s">
        <v>50</v>
      </c>
      <c r="K530" t="s">
        <v>27</v>
      </c>
    </row>
    <row r="531" spans="1:11" x14ac:dyDescent="0.25">
      <c r="A531" t="s">
        <v>1194</v>
      </c>
      <c r="B531" t="s">
        <v>45</v>
      </c>
      <c r="C531" t="s">
        <v>1031</v>
      </c>
      <c r="D531" t="s">
        <v>1179</v>
      </c>
      <c r="E531" t="s">
        <v>1180</v>
      </c>
      <c r="F531" t="s">
        <v>1084</v>
      </c>
      <c r="G531" t="s">
        <v>1195</v>
      </c>
      <c r="H531">
        <v>220500</v>
      </c>
      <c r="I531">
        <v>0</v>
      </c>
      <c r="J531" t="s">
        <v>50</v>
      </c>
      <c r="K531" t="s">
        <v>19</v>
      </c>
    </row>
    <row r="532" spans="1:11" x14ac:dyDescent="0.25">
      <c r="A532" t="s">
        <v>1196</v>
      </c>
      <c r="B532" t="s">
        <v>48</v>
      </c>
      <c r="C532" t="s">
        <v>1031</v>
      </c>
      <c r="D532" t="s">
        <v>1179</v>
      </c>
      <c r="E532" t="s">
        <v>1180</v>
      </c>
      <c r="F532" t="s">
        <v>1084</v>
      </c>
      <c r="G532" t="s">
        <v>1197</v>
      </c>
      <c r="H532">
        <v>205800</v>
      </c>
      <c r="I532">
        <v>0</v>
      </c>
      <c r="J532" t="s">
        <v>50</v>
      </c>
      <c r="K532" t="s">
        <v>27</v>
      </c>
    </row>
    <row r="533" spans="1:11" x14ac:dyDescent="0.25">
      <c r="A533" t="s">
        <v>1198</v>
      </c>
      <c r="B533" t="s">
        <v>52</v>
      </c>
      <c r="C533" t="s">
        <v>1031</v>
      </c>
      <c r="D533" t="s">
        <v>1179</v>
      </c>
      <c r="E533" t="s">
        <v>1180</v>
      </c>
      <c r="F533" t="s">
        <v>1084</v>
      </c>
      <c r="G533" t="s">
        <v>1199</v>
      </c>
      <c r="H533">
        <v>176400</v>
      </c>
      <c r="I533">
        <v>0</v>
      </c>
      <c r="J533" t="s">
        <v>50</v>
      </c>
      <c r="K533" t="s">
        <v>27</v>
      </c>
    </row>
    <row r="534" spans="1:11" x14ac:dyDescent="0.25">
      <c r="A534" t="s">
        <v>1200</v>
      </c>
      <c r="B534" t="s">
        <v>55</v>
      </c>
      <c r="C534" t="s">
        <v>1031</v>
      </c>
      <c r="D534" t="s">
        <v>1179</v>
      </c>
      <c r="E534" t="s">
        <v>1180</v>
      </c>
      <c r="F534" t="s">
        <v>1084</v>
      </c>
      <c r="G534" t="s">
        <v>1201</v>
      </c>
      <c r="H534">
        <v>176400</v>
      </c>
      <c r="I534">
        <v>0</v>
      </c>
      <c r="J534" t="s">
        <v>50</v>
      </c>
      <c r="K534" t="s">
        <v>27</v>
      </c>
    </row>
    <row r="535" spans="1:11" x14ac:dyDescent="0.25">
      <c r="A535" t="s">
        <v>1202</v>
      </c>
      <c r="B535" t="s">
        <v>21</v>
      </c>
      <c r="C535" t="s">
        <v>1031</v>
      </c>
      <c r="D535" t="s">
        <v>1203</v>
      </c>
      <c r="E535" t="s">
        <v>1204</v>
      </c>
      <c r="F535" t="s">
        <v>1059</v>
      </c>
      <c r="G535" t="s">
        <v>1205</v>
      </c>
      <c r="H535">
        <v>10900</v>
      </c>
      <c r="I535">
        <v>10483.1</v>
      </c>
      <c r="J535" t="s">
        <v>18</v>
      </c>
      <c r="K535" t="s">
        <v>23</v>
      </c>
    </row>
    <row r="536" spans="1:11" x14ac:dyDescent="0.25">
      <c r="A536" t="s">
        <v>1206</v>
      </c>
      <c r="B536" t="s">
        <v>25</v>
      </c>
      <c r="C536" t="s">
        <v>1031</v>
      </c>
      <c r="D536" t="s">
        <v>1203</v>
      </c>
      <c r="E536" t="s">
        <v>1204</v>
      </c>
      <c r="F536" t="s">
        <v>1059</v>
      </c>
      <c r="G536" t="s">
        <v>1207</v>
      </c>
      <c r="H536">
        <v>21800</v>
      </c>
      <c r="I536">
        <v>21019.01</v>
      </c>
      <c r="J536" t="s">
        <v>18</v>
      </c>
      <c r="K536" t="s">
        <v>23</v>
      </c>
    </row>
    <row r="537" spans="1:11" x14ac:dyDescent="0.25">
      <c r="A537" t="s">
        <v>1208</v>
      </c>
      <c r="B537" t="s">
        <v>29</v>
      </c>
      <c r="C537" t="s">
        <v>1031</v>
      </c>
      <c r="D537" t="s">
        <v>1203</v>
      </c>
      <c r="E537" t="s">
        <v>1204</v>
      </c>
      <c r="F537" t="s">
        <v>1059</v>
      </c>
      <c r="G537" t="s">
        <v>1209</v>
      </c>
      <c r="H537">
        <v>43600</v>
      </c>
      <c r="I537">
        <v>43555.94</v>
      </c>
      <c r="J537" t="s">
        <v>18</v>
      </c>
      <c r="K537" t="s">
        <v>40</v>
      </c>
    </row>
    <row r="538" spans="1:11" x14ac:dyDescent="0.25">
      <c r="A538" t="s">
        <v>1210</v>
      </c>
      <c r="B538" t="s">
        <v>32</v>
      </c>
      <c r="C538" t="s">
        <v>1031</v>
      </c>
      <c r="D538" t="s">
        <v>1203</v>
      </c>
      <c r="E538" t="s">
        <v>1204</v>
      </c>
      <c r="F538" t="s">
        <v>1059</v>
      </c>
      <c r="G538" t="s">
        <v>1211</v>
      </c>
      <c r="H538">
        <v>65400</v>
      </c>
      <c r="I538">
        <v>62647.97</v>
      </c>
      <c r="J538" t="s">
        <v>18</v>
      </c>
      <c r="K538" t="s">
        <v>23</v>
      </c>
    </row>
    <row r="539" spans="1:11" x14ac:dyDescent="0.25">
      <c r="A539" t="s">
        <v>1212</v>
      </c>
      <c r="B539" t="s">
        <v>35</v>
      </c>
      <c r="C539" t="s">
        <v>1031</v>
      </c>
      <c r="D539" t="s">
        <v>1203</v>
      </c>
      <c r="E539" t="s">
        <v>1204</v>
      </c>
      <c r="F539" t="s">
        <v>1059</v>
      </c>
      <c r="G539" t="s">
        <v>1213</v>
      </c>
      <c r="H539">
        <v>87200</v>
      </c>
      <c r="I539">
        <v>83247.509999999995</v>
      </c>
      <c r="J539" t="s">
        <v>18</v>
      </c>
      <c r="K539" t="s">
        <v>27</v>
      </c>
    </row>
    <row r="540" spans="1:11" x14ac:dyDescent="0.25">
      <c r="A540" t="s">
        <v>1214</v>
      </c>
      <c r="B540" t="s">
        <v>38</v>
      </c>
      <c r="C540" t="s">
        <v>1031</v>
      </c>
      <c r="D540" t="s">
        <v>1203</v>
      </c>
      <c r="E540" t="s">
        <v>1204</v>
      </c>
      <c r="F540" t="s">
        <v>1059</v>
      </c>
      <c r="G540" t="s">
        <v>1215</v>
      </c>
      <c r="H540">
        <v>130800</v>
      </c>
      <c r="I540">
        <v>0</v>
      </c>
      <c r="J540" t="s">
        <v>50</v>
      </c>
      <c r="K540" t="s">
        <v>40</v>
      </c>
    </row>
    <row r="541" spans="1:11" x14ac:dyDescent="0.25">
      <c r="A541" t="s">
        <v>1216</v>
      </c>
      <c r="B541" t="s">
        <v>42</v>
      </c>
      <c r="C541" t="s">
        <v>1031</v>
      </c>
      <c r="D541" t="s">
        <v>1203</v>
      </c>
      <c r="E541" t="s">
        <v>1204</v>
      </c>
      <c r="F541" t="s">
        <v>1059</v>
      </c>
      <c r="G541" t="s">
        <v>1217</v>
      </c>
      <c r="H541">
        <v>152600</v>
      </c>
      <c r="I541">
        <v>0</v>
      </c>
      <c r="J541" t="s">
        <v>50</v>
      </c>
      <c r="K541" t="s">
        <v>19</v>
      </c>
    </row>
    <row r="542" spans="1:11" x14ac:dyDescent="0.25">
      <c r="A542" t="s">
        <v>1218</v>
      </c>
      <c r="B542" t="s">
        <v>45</v>
      </c>
      <c r="C542" t="s">
        <v>1031</v>
      </c>
      <c r="D542" t="s">
        <v>1203</v>
      </c>
      <c r="E542" t="s">
        <v>1204</v>
      </c>
      <c r="F542" t="s">
        <v>1059</v>
      </c>
      <c r="G542" t="s">
        <v>1219</v>
      </c>
      <c r="H542">
        <v>163500</v>
      </c>
      <c r="I542">
        <v>0</v>
      </c>
      <c r="J542" t="s">
        <v>50</v>
      </c>
      <c r="K542" t="s">
        <v>23</v>
      </c>
    </row>
    <row r="543" spans="1:11" x14ac:dyDescent="0.25">
      <c r="A543" t="s">
        <v>1220</v>
      </c>
      <c r="B543" t="s">
        <v>48</v>
      </c>
      <c r="C543" t="s">
        <v>1031</v>
      </c>
      <c r="D543" t="s">
        <v>1203</v>
      </c>
      <c r="E543" t="s">
        <v>1204</v>
      </c>
      <c r="F543" t="s">
        <v>1059</v>
      </c>
      <c r="G543" t="s">
        <v>1221</v>
      </c>
      <c r="H543">
        <v>152600</v>
      </c>
      <c r="I543">
        <v>0</v>
      </c>
      <c r="J543" t="s">
        <v>50</v>
      </c>
      <c r="K543" t="s">
        <v>27</v>
      </c>
    </row>
    <row r="544" spans="1:11" x14ac:dyDescent="0.25">
      <c r="A544" t="s">
        <v>1222</v>
      </c>
      <c r="B544" t="s">
        <v>52</v>
      </c>
      <c r="C544" t="s">
        <v>1031</v>
      </c>
      <c r="D544" t="s">
        <v>1203</v>
      </c>
      <c r="E544" t="s">
        <v>1204</v>
      </c>
      <c r="F544" t="s">
        <v>1059</v>
      </c>
      <c r="G544" t="s">
        <v>1223</v>
      </c>
      <c r="H544">
        <v>130800</v>
      </c>
      <c r="I544">
        <v>0</v>
      </c>
      <c r="J544" t="s">
        <v>50</v>
      </c>
      <c r="K544" t="s">
        <v>27</v>
      </c>
    </row>
    <row r="545" spans="1:11" x14ac:dyDescent="0.25">
      <c r="A545" t="s">
        <v>1224</v>
      </c>
      <c r="B545" t="s">
        <v>55</v>
      </c>
      <c r="C545" t="s">
        <v>1031</v>
      </c>
      <c r="D545" t="s">
        <v>1203</v>
      </c>
      <c r="E545" t="s">
        <v>1204</v>
      </c>
      <c r="F545" t="s">
        <v>1059</v>
      </c>
      <c r="G545" t="s">
        <v>1225</v>
      </c>
      <c r="H545">
        <v>130800</v>
      </c>
      <c r="I545">
        <v>0</v>
      </c>
      <c r="J545" t="s">
        <v>50</v>
      </c>
      <c r="K545" t="s">
        <v>40</v>
      </c>
    </row>
    <row r="546" spans="1:11" x14ac:dyDescent="0.25">
      <c r="A546" t="s">
        <v>1226</v>
      </c>
      <c r="B546" t="s">
        <v>21</v>
      </c>
      <c r="C546" t="s">
        <v>1031</v>
      </c>
      <c r="D546" t="s">
        <v>1227</v>
      </c>
      <c r="E546" t="s">
        <v>1228</v>
      </c>
      <c r="F546" t="s">
        <v>1084</v>
      </c>
      <c r="G546" t="s">
        <v>1229</v>
      </c>
      <c r="H546">
        <v>60910</v>
      </c>
      <c r="I546">
        <v>59604.77</v>
      </c>
      <c r="J546" t="s">
        <v>18</v>
      </c>
      <c r="K546" t="s">
        <v>19</v>
      </c>
    </row>
    <row r="547" spans="1:11" x14ac:dyDescent="0.25">
      <c r="A547" t="s">
        <v>1230</v>
      </c>
      <c r="B547" t="s">
        <v>25</v>
      </c>
      <c r="C547" t="s">
        <v>1031</v>
      </c>
      <c r="D547" t="s">
        <v>1227</v>
      </c>
      <c r="E547" t="s">
        <v>1228</v>
      </c>
      <c r="F547" t="s">
        <v>1084</v>
      </c>
      <c r="G547" t="s">
        <v>1231</v>
      </c>
      <c r="H547">
        <v>121820</v>
      </c>
      <c r="I547">
        <v>119994.76</v>
      </c>
      <c r="J547" t="s">
        <v>18</v>
      </c>
      <c r="K547" t="s">
        <v>40</v>
      </c>
    </row>
    <row r="548" spans="1:11" x14ac:dyDescent="0.25">
      <c r="A548" t="s">
        <v>1232</v>
      </c>
      <c r="B548" t="s">
        <v>29</v>
      </c>
      <c r="C548" t="s">
        <v>1031</v>
      </c>
      <c r="D548" t="s">
        <v>1227</v>
      </c>
      <c r="E548" t="s">
        <v>1228</v>
      </c>
      <c r="F548" t="s">
        <v>1084</v>
      </c>
      <c r="G548" t="s">
        <v>1233</v>
      </c>
      <c r="H548">
        <v>243640</v>
      </c>
      <c r="I548">
        <v>230983.05</v>
      </c>
      <c r="J548" t="s">
        <v>18</v>
      </c>
      <c r="K548" t="s">
        <v>19</v>
      </c>
    </row>
    <row r="549" spans="1:11" x14ac:dyDescent="0.25">
      <c r="A549" t="s">
        <v>1234</v>
      </c>
      <c r="B549" t="s">
        <v>32</v>
      </c>
      <c r="C549" t="s">
        <v>1031</v>
      </c>
      <c r="D549" t="s">
        <v>1227</v>
      </c>
      <c r="E549" t="s">
        <v>1228</v>
      </c>
      <c r="F549" t="s">
        <v>1084</v>
      </c>
      <c r="G549" t="s">
        <v>1235</v>
      </c>
      <c r="H549">
        <v>365460</v>
      </c>
      <c r="I549">
        <v>363269.48</v>
      </c>
      <c r="J549" t="s">
        <v>18</v>
      </c>
      <c r="K549" t="s">
        <v>27</v>
      </c>
    </row>
    <row r="550" spans="1:11" x14ac:dyDescent="0.25">
      <c r="A550" t="s">
        <v>1236</v>
      </c>
      <c r="B550" t="s">
        <v>35</v>
      </c>
      <c r="C550" t="s">
        <v>1031</v>
      </c>
      <c r="D550" t="s">
        <v>1227</v>
      </c>
      <c r="E550" t="s">
        <v>1228</v>
      </c>
      <c r="F550" t="s">
        <v>1084</v>
      </c>
      <c r="G550" t="s">
        <v>1237</v>
      </c>
      <c r="H550">
        <v>487280</v>
      </c>
      <c r="I550">
        <v>422951.29</v>
      </c>
      <c r="J550" t="s">
        <v>18</v>
      </c>
      <c r="K550" t="s">
        <v>23</v>
      </c>
    </row>
    <row r="551" spans="1:11" x14ac:dyDescent="0.25">
      <c r="A551" t="s">
        <v>1238</v>
      </c>
      <c r="B551" t="s">
        <v>38</v>
      </c>
      <c r="C551" t="s">
        <v>1031</v>
      </c>
      <c r="D551" t="s">
        <v>1227</v>
      </c>
      <c r="E551" t="s">
        <v>1228</v>
      </c>
      <c r="F551" t="s">
        <v>1084</v>
      </c>
      <c r="G551" t="s">
        <v>1239</v>
      </c>
      <c r="H551">
        <v>730920</v>
      </c>
      <c r="I551">
        <v>0</v>
      </c>
      <c r="J551" t="s">
        <v>50</v>
      </c>
      <c r="K551" t="s">
        <v>19</v>
      </c>
    </row>
    <row r="552" spans="1:11" x14ac:dyDescent="0.25">
      <c r="A552" t="s">
        <v>1240</v>
      </c>
      <c r="B552" t="s">
        <v>42</v>
      </c>
      <c r="C552" t="s">
        <v>1031</v>
      </c>
      <c r="D552" t="s">
        <v>1227</v>
      </c>
      <c r="E552" t="s">
        <v>1228</v>
      </c>
      <c r="F552" t="s">
        <v>1084</v>
      </c>
      <c r="G552" t="s">
        <v>1241</v>
      </c>
      <c r="H552">
        <v>852740</v>
      </c>
      <c r="I552">
        <v>0</v>
      </c>
      <c r="J552" t="s">
        <v>50</v>
      </c>
      <c r="K552" t="s">
        <v>19</v>
      </c>
    </row>
    <row r="553" spans="1:11" x14ac:dyDescent="0.25">
      <c r="A553" t="s">
        <v>1242</v>
      </c>
      <c r="B553" t="s">
        <v>45</v>
      </c>
      <c r="C553" t="s">
        <v>1031</v>
      </c>
      <c r="D553" t="s">
        <v>1227</v>
      </c>
      <c r="E553" t="s">
        <v>1228</v>
      </c>
      <c r="F553" t="s">
        <v>1084</v>
      </c>
      <c r="G553" t="s">
        <v>1243</v>
      </c>
      <c r="H553">
        <v>913650</v>
      </c>
      <c r="I553">
        <v>0</v>
      </c>
      <c r="J553" t="s">
        <v>50</v>
      </c>
      <c r="K553" t="s">
        <v>40</v>
      </c>
    </row>
    <row r="554" spans="1:11" x14ac:dyDescent="0.25">
      <c r="A554" t="s">
        <v>1244</v>
      </c>
      <c r="B554" t="s">
        <v>48</v>
      </c>
      <c r="C554" t="s">
        <v>1031</v>
      </c>
      <c r="D554" t="s">
        <v>1227</v>
      </c>
      <c r="E554" t="s">
        <v>1228</v>
      </c>
      <c r="F554" t="s">
        <v>1084</v>
      </c>
      <c r="G554" t="s">
        <v>1245</v>
      </c>
      <c r="H554">
        <v>852740</v>
      </c>
      <c r="I554">
        <v>0</v>
      </c>
      <c r="J554" t="s">
        <v>50</v>
      </c>
      <c r="K554" t="s">
        <v>40</v>
      </c>
    </row>
    <row r="555" spans="1:11" x14ac:dyDescent="0.25">
      <c r="A555" t="s">
        <v>1246</v>
      </c>
      <c r="B555" t="s">
        <v>52</v>
      </c>
      <c r="C555" t="s">
        <v>1031</v>
      </c>
      <c r="D555" t="s">
        <v>1227</v>
      </c>
      <c r="E555" t="s">
        <v>1228</v>
      </c>
      <c r="F555" t="s">
        <v>1084</v>
      </c>
      <c r="G555" t="s">
        <v>1247</v>
      </c>
      <c r="H555">
        <v>730920</v>
      </c>
      <c r="I555">
        <v>0</v>
      </c>
      <c r="J555" t="s">
        <v>50</v>
      </c>
      <c r="K555" t="s">
        <v>27</v>
      </c>
    </row>
    <row r="556" spans="1:11" x14ac:dyDescent="0.25">
      <c r="A556" t="s">
        <v>1248</v>
      </c>
      <c r="B556" t="s">
        <v>55</v>
      </c>
      <c r="C556" t="s">
        <v>1031</v>
      </c>
      <c r="D556" t="s">
        <v>1227</v>
      </c>
      <c r="E556" t="s">
        <v>1228</v>
      </c>
      <c r="F556" t="s">
        <v>1084</v>
      </c>
      <c r="G556" t="s">
        <v>1249</v>
      </c>
      <c r="H556">
        <v>730920</v>
      </c>
      <c r="I556">
        <v>0</v>
      </c>
      <c r="J556" t="s">
        <v>50</v>
      </c>
      <c r="K556" t="s">
        <v>40</v>
      </c>
    </row>
    <row r="557" spans="1:11" x14ac:dyDescent="0.25">
      <c r="A557" t="s">
        <v>1250</v>
      </c>
      <c r="B557" t="s">
        <v>21</v>
      </c>
      <c r="C557" t="s">
        <v>1031</v>
      </c>
      <c r="D557" t="s">
        <v>1251</v>
      </c>
      <c r="E557" t="s">
        <v>1252</v>
      </c>
      <c r="F557" t="s">
        <v>1059</v>
      </c>
      <c r="G557" t="s">
        <v>1253</v>
      </c>
      <c r="H557">
        <v>37880</v>
      </c>
      <c r="I557">
        <v>36149.49</v>
      </c>
      <c r="J557" t="s">
        <v>18</v>
      </c>
      <c r="K557" t="s">
        <v>40</v>
      </c>
    </row>
    <row r="558" spans="1:11" x14ac:dyDescent="0.25">
      <c r="A558" t="s">
        <v>1254</v>
      </c>
      <c r="B558" t="s">
        <v>25</v>
      </c>
      <c r="C558" t="s">
        <v>1031</v>
      </c>
      <c r="D558" t="s">
        <v>1251</v>
      </c>
      <c r="E558" t="s">
        <v>1252</v>
      </c>
      <c r="F558" t="s">
        <v>1059</v>
      </c>
      <c r="G558" t="s">
        <v>1255</v>
      </c>
      <c r="H558">
        <v>75760</v>
      </c>
      <c r="I558">
        <v>74787.14</v>
      </c>
      <c r="J558" t="s">
        <v>18</v>
      </c>
      <c r="K558" t="s">
        <v>23</v>
      </c>
    </row>
    <row r="559" spans="1:11" x14ac:dyDescent="0.25">
      <c r="A559" t="s">
        <v>1256</v>
      </c>
      <c r="B559" t="s">
        <v>29</v>
      </c>
      <c r="C559" t="s">
        <v>1031</v>
      </c>
      <c r="D559" t="s">
        <v>1251</v>
      </c>
      <c r="E559" t="s">
        <v>1252</v>
      </c>
      <c r="F559" t="s">
        <v>1059</v>
      </c>
      <c r="G559" t="s">
        <v>1257</v>
      </c>
      <c r="H559">
        <v>151520</v>
      </c>
      <c r="I559">
        <v>148141.23000000001</v>
      </c>
      <c r="J559" t="s">
        <v>18</v>
      </c>
      <c r="K559" t="s">
        <v>40</v>
      </c>
    </row>
    <row r="560" spans="1:11" x14ac:dyDescent="0.25">
      <c r="A560" t="s">
        <v>1258</v>
      </c>
      <c r="B560" t="s">
        <v>32</v>
      </c>
      <c r="C560" t="s">
        <v>1031</v>
      </c>
      <c r="D560" t="s">
        <v>1251</v>
      </c>
      <c r="E560" t="s">
        <v>1252</v>
      </c>
      <c r="F560" t="s">
        <v>1059</v>
      </c>
      <c r="G560" t="s">
        <v>1259</v>
      </c>
      <c r="H560">
        <v>227280</v>
      </c>
      <c r="I560">
        <v>226559.9</v>
      </c>
      <c r="J560" t="s">
        <v>18</v>
      </c>
      <c r="K560" t="s">
        <v>27</v>
      </c>
    </row>
    <row r="561" spans="1:11" x14ac:dyDescent="0.25">
      <c r="A561" t="s">
        <v>1260</v>
      </c>
      <c r="B561" t="s">
        <v>35</v>
      </c>
      <c r="C561" t="s">
        <v>1031</v>
      </c>
      <c r="D561" t="s">
        <v>1251</v>
      </c>
      <c r="E561" t="s">
        <v>1252</v>
      </c>
      <c r="F561" t="s">
        <v>1059</v>
      </c>
      <c r="G561" t="s">
        <v>1261</v>
      </c>
      <c r="H561">
        <v>303040</v>
      </c>
      <c r="I561">
        <v>264738.45</v>
      </c>
      <c r="J561" t="s">
        <v>18</v>
      </c>
      <c r="K561" t="s">
        <v>19</v>
      </c>
    </row>
    <row r="562" spans="1:11" x14ac:dyDescent="0.25">
      <c r="A562" t="s">
        <v>1262</v>
      </c>
      <c r="B562" t="s">
        <v>38</v>
      </c>
      <c r="C562" t="s">
        <v>1031</v>
      </c>
      <c r="D562" t="s">
        <v>1251</v>
      </c>
      <c r="E562" t="s">
        <v>1252</v>
      </c>
      <c r="F562" t="s">
        <v>1059</v>
      </c>
      <c r="G562" t="s">
        <v>1263</v>
      </c>
      <c r="H562">
        <v>454560</v>
      </c>
      <c r="I562">
        <v>0</v>
      </c>
      <c r="J562" t="s">
        <v>50</v>
      </c>
      <c r="K562" t="s">
        <v>27</v>
      </c>
    </row>
    <row r="563" spans="1:11" x14ac:dyDescent="0.25">
      <c r="A563" t="s">
        <v>1264</v>
      </c>
      <c r="B563" t="s">
        <v>42</v>
      </c>
      <c r="C563" t="s">
        <v>1031</v>
      </c>
      <c r="D563" t="s">
        <v>1251</v>
      </c>
      <c r="E563" t="s">
        <v>1252</v>
      </c>
      <c r="F563" t="s">
        <v>1059</v>
      </c>
      <c r="G563" t="s">
        <v>1265</v>
      </c>
      <c r="H563">
        <v>530320</v>
      </c>
      <c r="I563">
        <v>0</v>
      </c>
      <c r="J563" t="s">
        <v>50</v>
      </c>
      <c r="K563" t="s">
        <v>40</v>
      </c>
    </row>
    <row r="564" spans="1:11" x14ac:dyDescent="0.25">
      <c r="A564" t="s">
        <v>1266</v>
      </c>
      <c r="B564" t="s">
        <v>45</v>
      </c>
      <c r="C564" t="s">
        <v>1031</v>
      </c>
      <c r="D564" t="s">
        <v>1251</v>
      </c>
      <c r="E564" t="s">
        <v>1252</v>
      </c>
      <c r="F564" t="s">
        <v>1059</v>
      </c>
      <c r="G564" t="s">
        <v>1267</v>
      </c>
      <c r="H564">
        <v>568200</v>
      </c>
      <c r="I564">
        <v>0</v>
      </c>
      <c r="J564" t="s">
        <v>50</v>
      </c>
      <c r="K564" t="s">
        <v>40</v>
      </c>
    </row>
    <row r="565" spans="1:11" x14ac:dyDescent="0.25">
      <c r="A565" t="s">
        <v>1268</v>
      </c>
      <c r="B565" t="s">
        <v>48</v>
      </c>
      <c r="C565" t="s">
        <v>1031</v>
      </c>
      <c r="D565" t="s">
        <v>1251</v>
      </c>
      <c r="E565" t="s">
        <v>1252</v>
      </c>
      <c r="F565" t="s">
        <v>1059</v>
      </c>
      <c r="G565" t="s">
        <v>1269</v>
      </c>
      <c r="H565">
        <v>530320</v>
      </c>
      <c r="I565">
        <v>0</v>
      </c>
      <c r="J565" t="s">
        <v>50</v>
      </c>
      <c r="K565" t="s">
        <v>23</v>
      </c>
    </row>
    <row r="566" spans="1:11" x14ac:dyDescent="0.25">
      <c r="A566" t="s">
        <v>1270</v>
      </c>
      <c r="B566" t="s">
        <v>52</v>
      </c>
      <c r="C566" t="s">
        <v>1031</v>
      </c>
      <c r="D566" t="s">
        <v>1251</v>
      </c>
      <c r="E566" t="s">
        <v>1252</v>
      </c>
      <c r="F566" t="s">
        <v>1059</v>
      </c>
      <c r="G566" t="s">
        <v>1271</v>
      </c>
      <c r="H566">
        <v>454560</v>
      </c>
      <c r="I566">
        <v>0</v>
      </c>
      <c r="J566" t="s">
        <v>50</v>
      </c>
      <c r="K566" t="s">
        <v>40</v>
      </c>
    </row>
    <row r="567" spans="1:11" x14ac:dyDescent="0.25">
      <c r="A567" t="s">
        <v>1272</v>
      </c>
      <c r="B567" t="s">
        <v>55</v>
      </c>
      <c r="C567" t="s">
        <v>1031</v>
      </c>
      <c r="D567" t="s">
        <v>1251</v>
      </c>
      <c r="E567" t="s">
        <v>1252</v>
      </c>
      <c r="F567" t="s">
        <v>1059</v>
      </c>
      <c r="G567" t="s">
        <v>1273</v>
      </c>
      <c r="H567">
        <v>454560</v>
      </c>
      <c r="I567">
        <v>0</v>
      </c>
      <c r="J567" t="s">
        <v>50</v>
      </c>
      <c r="K567" t="s">
        <v>19</v>
      </c>
    </row>
    <row r="568" spans="1:11" x14ac:dyDescent="0.25">
      <c r="A568" t="s">
        <v>1274</v>
      </c>
      <c r="B568" t="s">
        <v>12</v>
      </c>
      <c r="C568" t="s">
        <v>1275</v>
      </c>
      <c r="D568" t="s">
        <v>1276</v>
      </c>
      <c r="E568" t="s">
        <v>1277</v>
      </c>
      <c r="F568" t="s">
        <v>1278</v>
      </c>
      <c r="G568" t="s">
        <v>1279</v>
      </c>
      <c r="H568">
        <v>108560</v>
      </c>
      <c r="I568">
        <v>107519.8</v>
      </c>
      <c r="J568" t="s">
        <v>18</v>
      </c>
      <c r="K568" t="s">
        <v>23</v>
      </c>
    </row>
    <row r="569" spans="1:11" x14ac:dyDescent="0.25">
      <c r="A569" t="s">
        <v>1280</v>
      </c>
      <c r="B569" t="s">
        <v>21</v>
      </c>
      <c r="C569" t="s">
        <v>1275</v>
      </c>
      <c r="D569" t="s">
        <v>1276</v>
      </c>
      <c r="E569" t="s">
        <v>1277</v>
      </c>
      <c r="F569" t="s">
        <v>1278</v>
      </c>
      <c r="G569" t="s">
        <v>1281</v>
      </c>
      <c r="H569">
        <v>108560</v>
      </c>
      <c r="I569">
        <v>117259.31</v>
      </c>
      <c r="J569" t="s">
        <v>18</v>
      </c>
      <c r="K569" t="s">
        <v>40</v>
      </c>
    </row>
    <row r="570" spans="1:11" x14ac:dyDescent="0.25">
      <c r="A570" t="s">
        <v>1282</v>
      </c>
      <c r="B570" t="s">
        <v>25</v>
      </c>
      <c r="C570" t="s">
        <v>1275</v>
      </c>
      <c r="D570" t="s">
        <v>1276</v>
      </c>
      <c r="E570" t="s">
        <v>1277</v>
      </c>
      <c r="F570" t="s">
        <v>1278</v>
      </c>
      <c r="G570" t="s">
        <v>1283</v>
      </c>
      <c r="H570">
        <v>122130</v>
      </c>
      <c r="I570">
        <v>120466.07</v>
      </c>
      <c r="J570" t="s">
        <v>18</v>
      </c>
      <c r="K570" t="s">
        <v>19</v>
      </c>
    </row>
    <row r="571" spans="1:11" x14ac:dyDescent="0.25">
      <c r="A571" t="s">
        <v>1284</v>
      </c>
      <c r="B571" t="s">
        <v>29</v>
      </c>
      <c r="C571" t="s">
        <v>1275</v>
      </c>
      <c r="D571" t="s">
        <v>1276</v>
      </c>
      <c r="E571" t="s">
        <v>1277</v>
      </c>
      <c r="F571" t="s">
        <v>1278</v>
      </c>
      <c r="G571" t="s">
        <v>1285</v>
      </c>
      <c r="H571">
        <v>108560</v>
      </c>
      <c r="I571">
        <v>112024.99</v>
      </c>
      <c r="J571" t="s">
        <v>18</v>
      </c>
      <c r="K571" t="s">
        <v>19</v>
      </c>
    </row>
    <row r="572" spans="1:11" x14ac:dyDescent="0.25">
      <c r="A572" t="s">
        <v>1286</v>
      </c>
      <c r="B572" t="s">
        <v>32</v>
      </c>
      <c r="C572" t="s">
        <v>1275</v>
      </c>
      <c r="D572" t="s">
        <v>1276</v>
      </c>
      <c r="E572" t="s">
        <v>1277</v>
      </c>
      <c r="F572" t="s">
        <v>1278</v>
      </c>
      <c r="G572" t="s">
        <v>1287</v>
      </c>
      <c r="H572">
        <v>122130</v>
      </c>
      <c r="I572">
        <v>122111.45</v>
      </c>
      <c r="J572" t="s">
        <v>18</v>
      </c>
      <c r="K572" t="s">
        <v>27</v>
      </c>
    </row>
    <row r="573" spans="1:11" x14ac:dyDescent="0.25">
      <c r="A573" t="s">
        <v>1288</v>
      </c>
      <c r="B573" t="s">
        <v>35</v>
      </c>
      <c r="C573" t="s">
        <v>1275</v>
      </c>
      <c r="D573" t="s">
        <v>1276</v>
      </c>
      <c r="E573" t="s">
        <v>1277</v>
      </c>
      <c r="F573" t="s">
        <v>1278</v>
      </c>
      <c r="G573" t="s">
        <v>1289</v>
      </c>
      <c r="H573">
        <v>108560</v>
      </c>
      <c r="I573">
        <v>111163.63</v>
      </c>
      <c r="J573" t="s">
        <v>18</v>
      </c>
      <c r="K573" t="s">
        <v>40</v>
      </c>
    </row>
    <row r="574" spans="1:11" x14ac:dyDescent="0.25">
      <c r="A574" t="s">
        <v>1290</v>
      </c>
      <c r="B574" t="s">
        <v>38</v>
      </c>
      <c r="C574" t="s">
        <v>1275</v>
      </c>
      <c r="D574" t="s">
        <v>1276</v>
      </c>
      <c r="E574" t="s">
        <v>1277</v>
      </c>
      <c r="F574" t="s">
        <v>1278</v>
      </c>
      <c r="G574" t="s">
        <v>1291</v>
      </c>
      <c r="H574">
        <v>108560</v>
      </c>
      <c r="I574">
        <v>106326.54</v>
      </c>
      <c r="J574" t="s">
        <v>18</v>
      </c>
      <c r="K574" t="s">
        <v>27</v>
      </c>
    </row>
    <row r="575" spans="1:11" x14ac:dyDescent="0.25">
      <c r="A575" t="s">
        <v>1292</v>
      </c>
      <c r="B575" t="s">
        <v>42</v>
      </c>
      <c r="C575" t="s">
        <v>1275</v>
      </c>
      <c r="D575" t="s">
        <v>1276</v>
      </c>
      <c r="E575" t="s">
        <v>1277</v>
      </c>
      <c r="F575" t="s">
        <v>1278</v>
      </c>
      <c r="G575" t="s">
        <v>1293</v>
      </c>
      <c r="H575">
        <v>122130</v>
      </c>
      <c r="I575">
        <v>123167.75</v>
      </c>
      <c r="J575" t="s">
        <v>18</v>
      </c>
      <c r="K575" t="s">
        <v>19</v>
      </c>
    </row>
    <row r="576" spans="1:11" x14ac:dyDescent="0.25">
      <c r="A576" t="s">
        <v>1294</v>
      </c>
      <c r="B576" t="s">
        <v>45</v>
      </c>
      <c r="C576" t="s">
        <v>1275</v>
      </c>
      <c r="D576" t="s">
        <v>1276</v>
      </c>
      <c r="E576" t="s">
        <v>1277</v>
      </c>
      <c r="F576" t="s">
        <v>1278</v>
      </c>
      <c r="G576" t="s">
        <v>1295</v>
      </c>
      <c r="H576">
        <v>108560</v>
      </c>
      <c r="I576">
        <v>0</v>
      </c>
      <c r="J576" t="s">
        <v>50</v>
      </c>
      <c r="K576" t="s">
        <v>19</v>
      </c>
    </row>
    <row r="577" spans="1:11" x14ac:dyDescent="0.25">
      <c r="A577" t="s">
        <v>1296</v>
      </c>
      <c r="B577" t="s">
        <v>48</v>
      </c>
      <c r="C577" t="s">
        <v>1275</v>
      </c>
      <c r="D577" t="s">
        <v>1276</v>
      </c>
      <c r="E577" t="s">
        <v>1277</v>
      </c>
      <c r="F577" t="s">
        <v>1278</v>
      </c>
      <c r="G577" t="s">
        <v>1297</v>
      </c>
      <c r="H577">
        <v>108560</v>
      </c>
      <c r="I577">
        <v>0</v>
      </c>
      <c r="J577" t="s">
        <v>50</v>
      </c>
      <c r="K577" t="s">
        <v>23</v>
      </c>
    </row>
    <row r="578" spans="1:11" x14ac:dyDescent="0.25">
      <c r="A578" t="s">
        <v>1298</v>
      </c>
      <c r="B578" t="s">
        <v>52</v>
      </c>
      <c r="C578" t="s">
        <v>1275</v>
      </c>
      <c r="D578" t="s">
        <v>1276</v>
      </c>
      <c r="E578" t="s">
        <v>1277</v>
      </c>
      <c r="F578" t="s">
        <v>1278</v>
      </c>
      <c r="G578" t="s">
        <v>1299</v>
      </c>
      <c r="H578">
        <v>122130</v>
      </c>
      <c r="I578">
        <v>0</v>
      </c>
      <c r="J578" t="s">
        <v>50</v>
      </c>
      <c r="K578" t="s">
        <v>23</v>
      </c>
    </row>
    <row r="579" spans="1:11" x14ac:dyDescent="0.25">
      <c r="A579" t="s">
        <v>1300</v>
      </c>
      <c r="B579" t="s">
        <v>55</v>
      </c>
      <c r="C579" t="s">
        <v>1275</v>
      </c>
      <c r="D579" t="s">
        <v>1276</v>
      </c>
      <c r="E579" t="s">
        <v>1277</v>
      </c>
      <c r="F579" t="s">
        <v>1278</v>
      </c>
      <c r="G579" t="s">
        <v>1301</v>
      </c>
      <c r="H579">
        <v>108560</v>
      </c>
      <c r="I579">
        <v>0</v>
      </c>
      <c r="J579" t="s">
        <v>50</v>
      </c>
      <c r="K579" t="s">
        <v>23</v>
      </c>
    </row>
    <row r="580" spans="1:11" x14ac:dyDescent="0.25">
      <c r="A580" t="s">
        <v>1302</v>
      </c>
      <c r="B580" t="s">
        <v>12</v>
      </c>
      <c r="C580" t="s">
        <v>1275</v>
      </c>
      <c r="D580" t="s">
        <v>1303</v>
      </c>
      <c r="E580" t="s">
        <v>1304</v>
      </c>
      <c r="F580" t="s">
        <v>1278</v>
      </c>
      <c r="G580" t="s">
        <v>1305</v>
      </c>
      <c r="H580">
        <v>80080</v>
      </c>
      <c r="I580">
        <v>85086.73</v>
      </c>
      <c r="J580" t="s">
        <v>18</v>
      </c>
      <c r="K580" t="s">
        <v>19</v>
      </c>
    </row>
    <row r="581" spans="1:11" x14ac:dyDescent="0.25">
      <c r="A581" t="s">
        <v>1306</v>
      </c>
      <c r="B581" t="s">
        <v>21</v>
      </c>
      <c r="C581" t="s">
        <v>1275</v>
      </c>
      <c r="D581" t="s">
        <v>1303</v>
      </c>
      <c r="E581" t="s">
        <v>1304</v>
      </c>
      <c r="F581" t="s">
        <v>1278</v>
      </c>
      <c r="G581" t="s">
        <v>1307</v>
      </c>
      <c r="H581">
        <v>80080</v>
      </c>
      <c r="I581">
        <v>79304.539999999994</v>
      </c>
      <c r="J581" t="s">
        <v>18</v>
      </c>
      <c r="K581" t="s">
        <v>23</v>
      </c>
    </row>
    <row r="582" spans="1:11" x14ac:dyDescent="0.25">
      <c r="A582" t="s">
        <v>1308</v>
      </c>
      <c r="B582" t="s">
        <v>25</v>
      </c>
      <c r="C582" t="s">
        <v>1275</v>
      </c>
      <c r="D582" t="s">
        <v>1303</v>
      </c>
      <c r="E582" t="s">
        <v>1304</v>
      </c>
      <c r="F582" t="s">
        <v>1278</v>
      </c>
      <c r="G582" t="s">
        <v>1309</v>
      </c>
      <c r="H582">
        <v>90090</v>
      </c>
      <c r="I582">
        <v>82008.679999999993</v>
      </c>
      <c r="J582" t="s">
        <v>18</v>
      </c>
      <c r="K582" t="s">
        <v>19</v>
      </c>
    </row>
    <row r="583" spans="1:11" x14ac:dyDescent="0.25">
      <c r="A583" t="s">
        <v>1310</v>
      </c>
      <c r="B583" t="s">
        <v>29</v>
      </c>
      <c r="C583" t="s">
        <v>1275</v>
      </c>
      <c r="D583" t="s">
        <v>1303</v>
      </c>
      <c r="E583" t="s">
        <v>1304</v>
      </c>
      <c r="F583" t="s">
        <v>1278</v>
      </c>
      <c r="G583" t="s">
        <v>1311</v>
      </c>
      <c r="H583">
        <v>80080</v>
      </c>
      <c r="I583">
        <v>78102.080000000002</v>
      </c>
      <c r="J583" t="s">
        <v>18</v>
      </c>
      <c r="K583" t="s">
        <v>40</v>
      </c>
    </row>
    <row r="584" spans="1:11" x14ac:dyDescent="0.25">
      <c r="A584" t="s">
        <v>1312</v>
      </c>
      <c r="B584" t="s">
        <v>32</v>
      </c>
      <c r="C584" t="s">
        <v>1275</v>
      </c>
      <c r="D584" t="s">
        <v>1303</v>
      </c>
      <c r="E584" t="s">
        <v>1304</v>
      </c>
      <c r="F584" t="s">
        <v>1278</v>
      </c>
      <c r="G584" t="s">
        <v>1313</v>
      </c>
      <c r="H584">
        <v>90090</v>
      </c>
      <c r="I584">
        <v>90823.6</v>
      </c>
      <c r="J584" t="s">
        <v>18</v>
      </c>
      <c r="K584" t="s">
        <v>27</v>
      </c>
    </row>
    <row r="585" spans="1:11" x14ac:dyDescent="0.25">
      <c r="A585" t="s">
        <v>1314</v>
      </c>
      <c r="B585" t="s">
        <v>35</v>
      </c>
      <c r="C585" t="s">
        <v>1275</v>
      </c>
      <c r="D585" t="s">
        <v>1303</v>
      </c>
      <c r="E585" t="s">
        <v>1304</v>
      </c>
      <c r="F585" t="s">
        <v>1278</v>
      </c>
      <c r="G585" t="s">
        <v>1315</v>
      </c>
      <c r="H585">
        <v>80080</v>
      </c>
      <c r="I585">
        <v>85031.88</v>
      </c>
      <c r="J585" t="s">
        <v>18</v>
      </c>
      <c r="K585" t="s">
        <v>27</v>
      </c>
    </row>
    <row r="586" spans="1:11" x14ac:dyDescent="0.25">
      <c r="A586" t="s">
        <v>1316</v>
      </c>
      <c r="B586" t="s">
        <v>38</v>
      </c>
      <c r="C586" t="s">
        <v>1275</v>
      </c>
      <c r="D586" t="s">
        <v>1303</v>
      </c>
      <c r="E586" t="s">
        <v>1304</v>
      </c>
      <c r="F586" t="s">
        <v>1278</v>
      </c>
      <c r="G586" t="s">
        <v>1317</v>
      </c>
      <c r="H586">
        <v>80080</v>
      </c>
      <c r="I586">
        <v>76314.53</v>
      </c>
      <c r="J586" t="s">
        <v>18</v>
      </c>
      <c r="K586" t="s">
        <v>19</v>
      </c>
    </row>
    <row r="587" spans="1:11" x14ac:dyDescent="0.25">
      <c r="A587" t="s">
        <v>1318</v>
      </c>
      <c r="B587" t="s">
        <v>42</v>
      </c>
      <c r="C587" t="s">
        <v>1275</v>
      </c>
      <c r="D587" t="s">
        <v>1303</v>
      </c>
      <c r="E587" t="s">
        <v>1304</v>
      </c>
      <c r="F587" t="s">
        <v>1278</v>
      </c>
      <c r="G587" t="s">
        <v>1319</v>
      </c>
      <c r="H587">
        <v>90090</v>
      </c>
      <c r="I587">
        <v>87906.76</v>
      </c>
      <c r="J587" t="s">
        <v>18</v>
      </c>
      <c r="K587" t="s">
        <v>23</v>
      </c>
    </row>
    <row r="588" spans="1:11" x14ac:dyDescent="0.25">
      <c r="A588" t="s">
        <v>1320</v>
      </c>
      <c r="B588" t="s">
        <v>45</v>
      </c>
      <c r="C588" t="s">
        <v>1275</v>
      </c>
      <c r="D588" t="s">
        <v>1303</v>
      </c>
      <c r="E588" t="s">
        <v>1304</v>
      </c>
      <c r="F588" t="s">
        <v>1278</v>
      </c>
      <c r="G588" t="s">
        <v>1321</v>
      </c>
      <c r="H588">
        <v>80080</v>
      </c>
      <c r="I588">
        <v>0</v>
      </c>
      <c r="J588" t="s">
        <v>50</v>
      </c>
      <c r="K588" t="s">
        <v>27</v>
      </c>
    </row>
    <row r="589" spans="1:11" x14ac:dyDescent="0.25">
      <c r="A589" t="s">
        <v>1322</v>
      </c>
      <c r="B589" t="s">
        <v>48</v>
      </c>
      <c r="C589" t="s">
        <v>1275</v>
      </c>
      <c r="D589" t="s">
        <v>1303</v>
      </c>
      <c r="E589" t="s">
        <v>1304</v>
      </c>
      <c r="F589" t="s">
        <v>1278</v>
      </c>
      <c r="G589" t="s">
        <v>1323</v>
      </c>
      <c r="H589">
        <v>80080</v>
      </c>
      <c r="I589">
        <v>0</v>
      </c>
      <c r="J589" t="s">
        <v>50</v>
      </c>
      <c r="K589" t="s">
        <v>23</v>
      </c>
    </row>
    <row r="590" spans="1:11" x14ac:dyDescent="0.25">
      <c r="A590" t="s">
        <v>1324</v>
      </c>
      <c r="B590" t="s">
        <v>52</v>
      </c>
      <c r="C590" t="s">
        <v>1275</v>
      </c>
      <c r="D590" t="s">
        <v>1303</v>
      </c>
      <c r="E590" t="s">
        <v>1304</v>
      </c>
      <c r="F590" t="s">
        <v>1278</v>
      </c>
      <c r="G590" t="s">
        <v>1325</v>
      </c>
      <c r="H590">
        <v>90090</v>
      </c>
      <c r="I590">
        <v>0</v>
      </c>
      <c r="J590" t="s">
        <v>50</v>
      </c>
      <c r="K590" t="s">
        <v>23</v>
      </c>
    </row>
    <row r="591" spans="1:11" x14ac:dyDescent="0.25">
      <c r="A591" t="s">
        <v>1326</v>
      </c>
      <c r="B591" t="s">
        <v>55</v>
      </c>
      <c r="C591" t="s">
        <v>1275</v>
      </c>
      <c r="D591" t="s">
        <v>1303</v>
      </c>
      <c r="E591" t="s">
        <v>1304</v>
      </c>
      <c r="F591" t="s">
        <v>1278</v>
      </c>
      <c r="G591" t="s">
        <v>1327</v>
      </c>
      <c r="H591">
        <v>80080</v>
      </c>
      <c r="I591">
        <v>0</v>
      </c>
      <c r="J591" t="s">
        <v>50</v>
      </c>
      <c r="K591" t="s">
        <v>19</v>
      </c>
    </row>
    <row r="592" spans="1:11" x14ac:dyDescent="0.25">
      <c r="A592" t="s">
        <v>1328</v>
      </c>
      <c r="B592" t="s">
        <v>12</v>
      </c>
      <c r="C592" t="s">
        <v>1275</v>
      </c>
      <c r="D592" t="s">
        <v>1329</v>
      </c>
      <c r="E592" t="s">
        <v>1330</v>
      </c>
      <c r="F592" t="s">
        <v>1331</v>
      </c>
      <c r="G592" t="s">
        <v>1332</v>
      </c>
      <c r="H592">
        <v>53840</v>
      </c>
      <c r="I592">
        <v>54528.68</v>
      </c>
      <c r="J592" t="s">
        <v>18</v>
      </c>
      <c r="K592" t="s">
        <v>19</v>
      </c>
    </row>
    <row r="593" spans="1:11" x14ac:dyDescent="0.25">
      <c r="A593" t="s">
        <v>1333</v>
      </c>
      <c r="B593" t="s">
        <v>21</v>
      </c>
      <c r="C593" t="s">
        <v>1275</v>
      </c>
      <c r="D593" t="s">
        <v>1329</v>
      </c>
      <c r="E593" t="s">
        <v>1330</v>
      </c>
      <c r="F593" t="s">
        <v>1331</v>
      </c>
      <c r="G593" t="s">
        <v>1334</v>
      </c>
      <c r="H593">
        <v>53840</v>
      </c>
      <c r="I593">
        <v>58483.89</v>
      </c>
      <c r="J593" t="s">
        <v>18</v>
      </c>
      <c r="K593" t="s">
        <v>19</v>
      </c>
    </row>
    <row r="594" spans="1:11" x14ac:dyDescent="0.25">
      <c r="A594" t="s">
        <v>1335</v>
      </c>
      <c r="B594" t="s">
        <v>25</v>
      </c>
      <c r="C594" t="s">
        <v>1275</v>
      </c>
      <c r="D594" t="s">
        <v>1329</v>
      </c>
      <c r="E594" t="s">
        <v>1330</v>
      </c>
      <c r="F594" t="s">
        <v>1331</v>
      </c>
      <c r="G594" t="s">
        <v>1336</v>
      </c>
      <c r="H594">
        <v>60570</v>
      </c>
      <c r="I594">
        <v>59858.12</v>
      </c>
      <c r="J594" t="s">
        <v>18</v>
      </c>
      <c r="K594" t="s">
        <v>19</v>
      </c>
    </row>
    <row r="595" spans="1:11" x14ac:dyDescent="0.25">
      <c r="A595" t="s">
        <v>1337</v>
      </c>
      <c r="B595" t="s">
        <v>29</v>
      </c>
      <c r="C595" t="s">
        <v>1275</v>
      </c>
      <c r="D595" t="s">
        <v>1329</v>
      </c>
      <c r="E595" t="s">
        <v>1330</v>
      </c>
      <c r="F595" t="s">
        <v>1331</v>
      </c>
      <c r="G595" t="s">
        <v>1338</v>
      </c>
      <c r="H595">
        <v>53840</v>
      </c>
      <c r="I595">
        <v>54965.79</v>
      </c>
      <c r="J595" t="s">
        <v>18</v>
      </c>
      <c r="K595" t="s">
        <v>23</v>
      </c>
    </row>
    <row r="596" spans="1:11" x14ac:dyDescent="0.25">
      <c r="A596" t="s">
        <v>1339</v>
      </c>
      <c r="B596" t="s">
        <v>32</v>
      </c>
      <c r="C596" t="s">
        <v>1275</v>
      </c>
      <c r="D596" t="s">
        <v>1329</v>
      </c>
      <c r="E596" t="s">
        <v>1330</v>
      </c>
      <c r="F596" t="s">
        <v>1331</v>
      </c>
      <c r="G596" t="s">
        <v>1340</v>
      </c>
      <c r="H596">
        <v>60570</v>
      </c>
      <c r="I596">
        <v>59038.59</v>
      </c>
      <c r="J596" t="s">
        <v>18</v>
      </c>
      <c r="K596" t="s">
        <v>19</v>
      </c>
    </row>
    <row r="597" spans="1:11" x14ac:dyDescent="0.25">
      <c r="A597" t="s">
        <v>1341</v>
      </c>
      <c r="B597" t="s">
        <v>35</v>
      </c>
      <c r="C597" t="s">
        <v>1275</v>
      </c>
      <c r="D597" t="s">
        <v>1329</v>
      </c>
      <c r="E597" t="s">
        <v>1330</v>
      </c>
      <c r="F597" t="s">
        <v>1331</v>
      </c>
      <c r="G597" t="s">
        <v>1342</v>
      </c>
      <c r="H597">
        <v>53840</v>
      </c>
      <c r="I597">
        <v>54048.66</v>
      </c>
      <c r="J597" t="s">
        <v>18</v>
      </c>
      <c r="K597" t="s">
        <v>27</v>
      </c>
    </row>
    <row r="598" spans="1:11" x14ac:dyDescent="0.25">
      <c r="A598" t="s">
        <v>1343</v>
      </c>
      <c r="B598" t="s">
        <v>38</v>
      </c>
      <c r="C598" t="s">
        <v>1275</v>
      </c>
      <c r="D598" t="s">
        <v>1329</v>
      </c>
      <c r="E598" t="s">
        <v>1330</v>
      </c>
      <c r="F598" t="s">
        <v>1331</v>
      </c>
      <c r="G598" t="s">
        <v>1344</v>
      </c>
      <c r="H598">
        <v>53840</v>
      </c>
      <c r="I598">
        <v>51962.27</v>
      </c>
      <c r="J598" t="s">
        <v>18</v>
      </c>
      <c r="K598" t="s">
        <v>19</v>
      </c>
    </row>
    <row r="599" spans="1:11" x14ac:dyDescent="0.25">
      <c r="A599" t="s">
        <v>1345</v>
      </c>
      <c r="B599" t="s">
        <v>42</v>
      </c>
      <c r="C599" t="s">
        <v>1275</v>
      </c>
      <c r="D599" t="s">
        <v>1329</v>
      </c>
      <c r="E599" t="s">
        <v>1330</v>
      </c>
      <c r="F599" t="s">
        <v>1331</v>
      </c>
      <c r="G599" t="s">
        <v>1346</v>
      </c>
      <c r="H599">
        <v>60570</v>
      </c>
      <c r="I599">
        <v>55953.53</v>
      </c>
      <c r="J599" t="s">
        <v>18</v>
      </c>
      <c r="K599" t="s">
        <v>40</v>
      </c>
    </row>
    <row r="600" spans="1:11" x14ac:dyDescent="0.25">
      <c r="A600" t="s">
        <v>1347</v>
      </c>
      <c r="B600" t="s">
        <v>45</v>
      </c>
      <c r="C600" t="s">
        <v>1275</v>
      </c>
      <c r="D600" t="s">
        <v>1329</v>
      </c>
      <c r="E600" t="s">
        <v>1330</v>
      </c>
      <c r="F600" t="s">
        <v>1331</v>
      </c>
      <c r="G600" t="s">
        <v>1348</v>
      </c>
      <c r="H600">
        <v>53840</v>
      </c>
      <c r="I600">
        <v>0</v>
      </c>
      <c r="J600" t="s">
        <v>50</v>
      </c>
      <c r="K600" t="s">
        <v>19</v>
      </c>
    </row>
    <row r="601" spans="1:11" x14ac:dyDescent="0.25">
      <c r="A601" t="s">
        <v>1349</v>
      </c>
      <c r="B601" t="s">
        <v>48</v>
      </c>
      <c r="C601" t="s">
        <v>1275</v>
      </c>
      <c r="D601" t="s">
        <v>1329</v>
      </c>
      <c r="E601" t="s">
        <v>1330</v>
      </c>
      <c r="F601" t="s">
        <v>1331</v>
      </c>
      <c r="G601" t="s">
        <v>1350</v>
      </c>
      <c r="H601">
        <v>53840</v>
      </c>
      <c r="I601">
        <v>0</v>
      </c>
      <c r="J601" t="s">
        <v>50</v>
      </c>
      <c r="K601" t="s">
        <v>23</v>
      </c>
    </row>
    <row r="602" spans="1:11" x14ac:dyDescent="0.25">
      <c r="A602" t="s">
        <v>1351</v>
      </c>
      <c r="B602" t="s">
        <v>52</v>
      </c>
      <c r="C602" t="s">
        <v>1275</v>
      </c>
      <c r="D602" t="s">
        <v>1329</v>
      </c>
      <c r="E602" t="s">
        <v>1330</v>
      </c>
      <c r="F602" t="s">
        <v>1331</v>
      </c>
      <c r="G602" t="s">
        <v>1352</v>
      </c>
      <c r="H602">
        <v>60570</v>
      </c>
      <c r="I602">
        <v>0</v>
      </c>
      <c r="J602" t="s">
        <v>50</v>
      </c>
      <c r="K602" t="s">
        <v>40</v>
      </c>
    </row>
    <row r="603" spans="1:11" x14ac:dyDescent="0.25">
      <c r="A603" t="s">
        <v>1353</v>
      </c>
      <c r="B603" t="s">
        <v>55</v>
      </c>
      <c r="C603" t="s">
        <v>1275</v>
      </c>
      <c r="D603" t="s">
        <v>1329</v>
      </c>
      <c r="E603" t="s">
        <v>1330</v>
      </c>
      <c r="F603" t="s">
        <v>1331</v>
      </c>
      <c r="G603" t="s">
        <v>1354</v>
      </c>
      <c r="H603">
        <v>53840</v>
      </c>
      <c r="I603">
        <v>0</v>
      </c>
      <c r="J603" t="s">
        <v>50</v>
      </c>
      <c r="K603" t="s">
        <v>23</v>
      </c>
    </row>
    <row r="604" spans="1:11" x14ac:dyDescent="0.25">
      <c r="A604" t="s">
        <v>1355</v>
      </c>
      <c r="B604" t="s">
        <v>12</v>
      </c>
      <c r="C604" t="s">
        <v>1275</v>
      </c>
      <c r="D604" t="s">
        <v>1356</v>
      </c>
      <c r="E604" t="s">
        <v>1357</v>
      </c>
      <c r="F604" t="s">
        <v>1358</v>
      </c>
      <c r="G604" t="s">
        <v>1359</v>
      </c>
      <c r="H604">
        <v>249120</v>
      </c>
      <c r="I604">
        <v>264661.11</v>
      </c>
      <c r="J604" t="s">
        <v>18</v>
      </c>
      <c r="K604" t="s">
        <v>40</v>
      </c>
    </row>
    <row r="605" spans="1:11" x14ac:dyDescent="0.25">
      <c r="A605" t="s">
        <v>1360</v>
      </c>
      <c r="B605" t="s">
        <v>21</v>
      </c>
      <c r="C605" t="s">
        <v>1275</v>
      </c>
      <c r="D605" t="s">
        <v>1356</v>
      </c>
      <c r="E605" t="s">
        <v>1357</v>
      </c>
      <c r="F605" t="s">
        <v>1358</v>
      </c>
      <c r="G605" t="s">
        <v>1361</v>
      </c>
      <c r="H605">
        <v>249120</v>
      </c>
      <c r="I605">
        <v>266549.3</v>
      </c>
      <c r="J605" t="s">
        <v>18</v>
      </c>
      <c r="K605" t="s">
        <v>23</v>
      </c>
    </row>
    <row r="606" spans="1:11" x14ac:dyDescent="0.25">
      <c r="A606" t="s">
        <v>1362</v>
      </c>
      <c r="B606" t="s">
        <v>25</v>
      </c>
      <c r="C606" t="s">
        <v>1275</v>
      </c>
      <c r="D606" t="s">
        <v>1356</v>
      </c>
      <c r="E606" t="s">
        <v>1357</v>
      </c>
      <c r="F606" t="s">
        <v>1358</v>
      </c>
      <c r="G606" t="s">
        <v>1363</v>
      </c>
      <c r="H606">
        <v>280260</v>
      </c>
      <c r="I606">
        <v>281186.64</v>
      </c>
      <c r="J606" t="s">
        <v>18</v>
      </c>
      <c r="K606" t="s">
        <v>19</v>
      </c>
    </row>
    <row r="607" spans="1:11" x14ac:dyDescent="0.25">
      <c r="A607" t="s">
        <v>1364</v>
      </c>
      <c r="B607" t="s">
        <v>29</v>
      </c>
      <c r="C607" t="s">
        <v>1275</v>
      </c>
      <c r="D607" t="s">
        <v>1356</v>
      </c>
      <c r="E607" t="s">
        <v>1357</v>
      </c>
      <c r="F607" t="s">
        <v>1358</v>
      </c>
      <c r="G607" t="s">
        <v>1365</v>
      </c>
      <c r="H607">
        <v>249120</v>
      </c>
      <c r="I607">
        <v>258223.56</v>
      </c>
      <c r="J607" t="s">
        <v>18</v>
      </c>
      <c r="K607" t="s">
        <v>19</v>
      </c>
    </row>
    <row r="608" spans="1:11" x14ac:dyDescent="0.25">
      <c r="A608" t="s">
        <v>1366</v>
      </c>
      <c r="B608" t="s">
        <v>32</v>
      </c>
      <c r="C608" t="s">
        <v>1275</v>
      </c>
      <c r="D608" t="s">
        <v>1356</v>
      </c>
      <c r="E608" t="s">
        <v>1357</v>
      </c>
      <c r="F608" t="s">
        <v>1358</v>
      </c>
      <c r="G608" t="s">
        <v>1367</v>
      </c>
      <c r="H608">
        <v>280260</v>
      </c>
      <c r="I608">
        <v>275551.01</v>
      </c>
      <c r="J608" t="s">
        <v>18</v>
      </c>
      <c r="K608" t="s">
        <v>27</v>
      </c>
    </row>
    <row r="609" spans="1:11" x14ac:dyDescent="0.25">
      <c r="A609" t="s">
        <v>1368</v>
      </c>
      <c r="B609" t="s">
        <v>35</v>
      </c>
      <c r="C609" t="s">
        <v>1275</v>
      </c>
      <c r="D609" t="s">
        <v>1356</v>
      </c>
      <c r="E609" t="s">
        <v>1357</v>
      </c>
      <c r="F609" t="s">
        <v>1358</v>
      </c>
      <c r="G609" t="s">
        <v>1369</v>
      </c>
      <c r="H609">
        <v>249120</v>
      </c>
      <c r="I609">
        <v>259018.78</v>
      </c>
      <c r="J609" t="s">
        <v>18</v>
      </c>
      <c r="K609" t="s">
        <v>40</v>
      </c>
    </row>
    <row r="610" spans="1:11" x14ac:dyDescent="0.25">
      <c r="A610" t="s">
        <v>1370</v>
      </c>
      <c r="B610" t="s">
        <v>38</v>
      </c>
      <c r="C610" t="s">
        <v>1275</v>
      </c>
      <c r="D610" t="s">
        <v>1356</v>
      </c>
      <c r="E610" t="s">
        <v>1357</v>
      </c>
      <c r="F610" t="s">
        <v>1358</v>
      </c>
      <c r="G610" t="s">
        <v>1371</v>
      </c>
      <c r="H610">
        <v>249120</v>
      </c>
      <c r="I610">
        <v>256947.5</v>
      </c>
      <c r="J610" t="s">
        <v>18</v>
      </c>
      <c r="K610" t="s">
        <v>40</v>
      </c>
    </row>
    <row r="611" spans="1:11" x14ac:dyDescent="0.25">
      <c r="A611" t="s">
        <v>1372</v>
      </c>
      <c r="B611" t="s">
        <v>42</v>
      </c>
      <c r="C611" t="s">
        <v>1275</v>
      </c>
      <c r="D611" t="s">
        <v>1356</v>
      </c>
      <c r="E611" t="s">
        <v>1357</v>
      </c>
      <c r="F611" t="s">
        <v>1358</v>
      </c>
      <c r="G611" t="s">
        <v>1373</v>
      </c>
      <c r="H611">
        <v>280260</v>
      </c>
      <c r="I611">
        <v>280390.58</v>
      </c>
      <c r="J611" t="s">
        <v>18</v>
      </c>
      <c r="K611" t="s">
        <v>27</v>
      </c>
    </row>
    <row r="612" spans="1:11" x14ac:dyDescent="0.25">
      <c r="A612" t="s">
        <v>1374</v>
      </c>
      <c r="B612" t="s">
        <v>45</v>
      </c>
      <c r="C612" t="s">
        <v>1275</v>
      </c>
      <c r="D612" t="s">
        <v>1356</v>
      </c>
      <c r="E612" t="s">
        <v>1357</v>
      </c>
      <c r="F612" t="s">
        <v>1358</v>
      </c>
      <c r="G612" t="s">
        <v>1375</v>
      </c>
      <c r="H612">
        <v>249120</v>
      </c>
      <c r="I612">
        <v>0</v>
      </c>
      <c r="J612" t="s">
        <v>50</v>
      </c>
      <c r="K612" t="s">
        <v>40</v>
      </c>
    </row>
    <row r="613" spans="1:11" x14ac:dyDescent="0.25">
      <c r="A613" t="s">
        <v>1376</v>
      </c>
      <c r="B613" t="s">
        <v>48</v>
      </c>
      <c r="C613" t="s">
        <v>1275</v>
      </c>
      <c r="D613" t="s">
        <v>1356</v>
      </c>
      <c r="E613" t="s">
        <v>1357</v>
      </c>
      <c r="F613" t="s">
        <v>1358</v>
      </c>
      <c r="G613" t="s">
        <v>1377</v>
      </c>
      <c r="H613">
        <v>249120</v>
      </c>
      <c r="I613">
        <v>0</v>
      </c>
      <c r="J613" t="s">
        <v>50</v>
      </c>
      <c r="K613" t="s">
        <v>23</v>
      </c>
    </row>
    <row r="614" spans="1:11" x14ac:dyDescent="0.25">
      <c r="A614" t="s">
        <v>1378</v>
      </c>
      <c r="B614" t="s">
        <v>52</v>
      </c>
      <c r="C614" t="s">
        <v>1275</v>
      </c>
      <c r="D614" t="s">
        <v>1356</v>
      </c>
      <c r="E614" t="s">
        <v>1357</v>
      </c>
      <c r="F614" t="s">
        <v>1358</v>
      </c>
      <c r="G614" t="s">
        <v>1379</v>
      </c>
      <c r="H614">
        <v>280260</v>
      </c>
      <c r="I614">
        <v>0</v>
      </c>
      <c r="J614" t="s">
        <v>50</v>
      </c>
      <c r="K614" t="s">
        <v>19</v>
      </c>
    </row>
    <row r="615" spans="1:11" x14ac:dyDescent="0.25">
      <c r="A615" t="s">
        <v>1380</v>
      </c>
      <c r="B615" t="s">
        <v>55</v>
      </c>
      <c r="C615" t="s">
        <v>1275</v>
      </c>
      <c r="D615" t="s">
        <v>1356</v>
      </c>
      <c r="E615" t="s">
        <v>1357</v>
      </c>
      <c r="F615" t="s">
        <v>1358</v>
      </c>
      <c r="G615" t="s">
        <v>1381</v>
      </c>
      <c r="H615">
        <v>249120</v>
      </c>
      <c r="I615">
        <v>0</v>
      </c>
      <c r="J615" t="s">
        <v>50</v>
      </c>
      <c r="K615" t="s">
        <v>40</v>
      </c>
    </row>
    <row r="616" spans="1:11" x14ac:dyDescent="0.25">
      <c r="A616" t="s">
        <v>1382</v>
      </c>
      <c r="B616" t="s">
        <v>12</v>
      </c>
      <c r="C616" t="s">
        <v>1275</v>
      </c>
      <c r="D616" t="s">
        <v>1383</v>
      </c>
      <c r="E616" t="s">
        <v>1384</v>
      </c>
      <c r="F616" t="s">
        <v>1331</v>
      </c>
      <c r="G616" t="s">
        <v>1385</v>
      </c>
      <c r="H616">
        <v>70400</v>
      </c>
      <c r="I616">
        <v>70336.86</v>
      </c>
      <c r="J616" t="s">
        <v>18</v>
      </c>
      <c r="K616" t="s">
        <v>19</v>
      </c>
    </row>
    <row r="617" spans="1:11" x14ac:dyDescent="0.25">
      <c r="A617" t="s">
        <v>1386</v>
      </c>
      <c r="B617" t="s">
        <v>21</v>
      </c>
      <c r="C617" t="s">
        <v>1275</v>
      </c>
      <c r="D617" t="s">
        <v>1383</v>
      </c>
      <c r="E617" t="s">
        <v>1384</v>
      </c>
      <c r="F617" t="s">
        <v>1331</v>
      </c>
      <c r="G617" t="s">
        <v>1387</v>
      </c>
      <c r="H617">
        <v>70400</v>
      </c>
      <c r="I617">
        <v>72678.77</v>
      </c>
      <c r="J617" t="s">
        <v>18</v>
      </c>
      <c r="K617" t="s">
        <v>27</v>
      </c>
    </row>
    <row r="618" spans="1:11" x14ac:dyDescent="0.25">
      <c r="A618" t="s">
        <v>1388</v>
      </c>
      <c r="B618" t="s">
        <v>25</v>
      </c>
      <c r="C618" t="s">
        <v>1275</v>
      </c>
      <c r="D618" t="s">
        <v>1383</v>
      </c>
      <c r="E618" t="s">
        <v>1384</v>
      </c>
      <c r="F618" t="s">
        <v>1331</v>
      </c>
      <c r="G618" t="s">
        <v>1389</v>
      </c>
      <c r="H618">
        <v>79200</v>
      </c>
      <c r="I618">
        <v>72873.48</v>
      </c>
      <c r="J618" t="s">
        <v>18</v>
      </c>
      <c r="K618" t="s">
        <v>40</v>
      </c>
    </row>
    <row r="619" spans="1:11" x14ac:dyDescent="0.25">
      <c r="A619" t="s">
        <v>1390</v>
      </c>
      <c r="B619" t="s">
        <v>29</v>
      </c>
      <c r="C619" t="s">
        <v>1275</v>
      </c>
      <c r="D619" t="s">
        <v>1383</v>
      </c>
      <c r="E619" t="s">
        <v>1384</v>
      </c>
      <c r="F619" t="s">
        <v>1331</v>
      </c>
      <c r="G619" t="s">
        <v>1391</v>
      </c>
      <c r="H619">
        <v>70400</v>
      </c>
      <c r="I619">
        <v>72676.56</v>
      </c>
      <c r="J619" t="s">
        <v>18</v>
      </c>
      <c r="K619" t="s">
        <v>19</v>
      </c>
    </row>
    <row r="620" spans="1:11" x14ac:dyDescent="0.25">
      <c r="A620" t="s">
        <v>1392</v>
      </c>
      <c r="B620" t="s">
        <v>32</v>
      </c>
      <c r="C620" t="s">
        <v>1275</v>
      </c>
      <c r="D620" t="s">
        <v>1383</v>
      </c>
      <c r="E620" t="s">
        <v>1384</v>
      </c>
      <c r="F620" t="s">
        <v>1331</v>
      </c>
      <c r="G620" t="s">
        <v>1393</v>
      </c>
      <c r="H620">
        <v>79200</v>
      </c>
      <c r="I620">
        <v>78262.22</v>
      </c>
      <c r="J620" t="s">
        <v>18</v>
      </c>
      <c r="K620" t="s">
        <v>19</v>
      </c>
    </row>
    <row r="621" spans="1:11" x14ac:dyDescent="0.25">
      <c r="A621" t="s">
        <v>1394</v>
      </c>
      <c r="B621" t="s">
        <v>35</v>
      </c>
      <c r="C621" t="s">
        <v>1275</v>
      </c>
      <c r="D621" t="s">
        <v>1383</v>
      </c>
      <c r="E621" t="s">
        <v>1384</v>
      </c>
      <c r="F621" t="s">
        <v>1331</v>
      </c>
      <c r="G621" t="s">
        <v>1395</v>
      </c>
      <c r="H621">
        <v>70400</v>
      </c>
      <c r="I621">
        <v>69345.77</v>
      </c>
      <c r="J621" t="s">
        <v>18</v>
      </c>
      <c r="K621" t="s">
        <v>40</v>
      </c>
    </row>
    <row r="622" spans="1:11" x14ac:dyDescent="0.25">
      <c r="A622" t="s">
        <v>1396</v>
      </c>
      <c r="B622" t="s">
        <v>38</v>
      </c>
      <c r="C622" t="s">
        <v>1275</v>
      </c>
      <c r="D622" t="s">
        <v>1383</v>
      </c>
      <c r="E622" t="s">
        <v>1384</v>
      </c>
      <c r="F622" t="s">
        <v>1331</v>
      </c>
      <c r="G622" t="s">
        <v>1397</v>
      </c>
      <c r="H622">
        <v>70400</v>
      </c>
      <c r="I622">
        <v>70713.66</v>
      </c>
      <c r="J622" t="s">
        <v>18</v>
      </c>
      <c r="K622" t="s">
        <v>27</v>
      </c>
    </row>
    <row r="623" spans="1:11" x14ac:dyDescent="0.25">
      <c r="A623" t="s">
        <v>1398</v>
      </c>
      <c r="B623" t="s">
        <v>42</v>
      </c>
      <c r="C623" t="s">
        <v>1275</v>
      </c>
      <c r="D623" t="s">
        <v>1383</v>
      </c>
      <c r="E623" t="s">
        <v>1384</v>
      </c>
      <c r="F623" t="s">
        <v>1331</v>
      </c>
      <c r="G623" t="s">
        <v>1399</v>
      </c>
      <c r="H623">
        <v>79200</v>
      </c>
      <c r="I623">
        <v>77464.39</v>
      </c>
      <c r="J623" t="s">
        <v>18</v>
      </c>
      <c r="K623" t="s">
        <v>23</v>
      </c>
    </row>
    <row r="624" spans="1:11" x14ac:dyDescent="0.25">
      <c r="A624" t="s">
        <v>1400</v>
      </c>
      <c r="B624" t="s">
        <v>45</v>
      </c>
      <c r="C624" t="s">
        <v>1275</v>
      </c>
      <c r="D624" t="s">
        <v>1383</v>
      </c>
      <c r="E624" t="s">
        <v>1384</v>
      </c>
      <c r="F624" t="s">
        <v>1331</v>
      </c>
      <c r="G624" t="s">
        <v>1401</v>
      </c>
      <c r="H624">
        <v>70400</v>
      </c>
      <c r="I624">
        <v>0</v>
      </c>
      <c r="J624" t="s">
        <v>50</v>
      </c>
      <c r="K624" t="s">
        <v>40</v>
      </c>
    </row>
    <row r="625" spans="1:11" x14ac:dyDescent="0.25">
      <c r="A625" t="s">
        <v>1402</v>
      </c>
      <c r="B625" t="s">
        <v>48</v>
      </c>
      <c r="C625" t="s">
        <v>1275</v>
      </c>
      <c r="D625" t="s">
        <v>1383</v>
      </c>
      <c r="E625" t="s">
        <v>1384</v>
      </c>
      <c r="F625" t="s">
        <v>1331</v>
      </c>
      <c r="G625" t="s">
        <v>1403</v>
      </c>
      <c r="H625">
        <v>70400</v>
      </c>
      <c r="I625">
        <v>0</v>
      </c>
      <c r="J625" t="s">
        <v>50</v>
      </c>
      <c r="K625" t="s">
        <v>40</v>
      </c>
    </row>
    <row r="626" spans="1:11" x14ac:dyDescent="0.25">
      <c r="A626" t="s">
        <v>1404</v>
      </c>
      <c r="B626" t="s">
        <v>52</v>
      </c>
      <c r="C626" t="s">
        <v>1275</v>
      </c>
      <c r="D626" t="s">
        <v>1383</v>
      </c>
      <c r="E626" t="s">
        <v>1384</v>
      </c>
      <c r="F626" t="s">
        <v>1331</v>
      </c>
      <c r="G626" t="s">
        <v>1405</v>
      </c>
      <c r="H626">
        <v>79200</v>
      </c>
      <c r="I626">
        <v>0</v>
      </c>
      <c r="J626" t="s">
        <v>50</v>
      </c>
      <c r="K626" t="s">
        <v>23</v>
      </c>
    </row>
    <row r="627" spans="1:11" x14ac:dyDescent="0.25">
      <c r="A627" t="s">
        <v>1406</v>
      </c>
      <c r="B627" t="s">
        <v>55</v>
      </c>
      <c r="C627" t="s">
        <v>1275</v>
      </c>
      <c r="D627" t="s">
        <v>1383</v>
      </c>
      <c r="E627" t="s">
        <v>1384</v>
      </c>
      <c r="F627" t="s">
        <v>1331</v>
      </c>
      <c r="G627" t="s">
        <v>1407</v>
      </c>
      <c r="H627">
        <v>70400</v>
      </c>
      <c r="I627">
        <v>0</v>
      </c>
      <c r="J627" t="s">
        <v>50</v>
      </c>
      <c r="K627" t="s">
        <v>19</v>
      </c>
    </row>
    <row r="628" spans="1:11" x14ac:dyDescent="0.25">
      <c r="A628" t="s">
        <v>1408</v>
      </c>
      <c r="B628" t="s">
        <v>12</v>
      </c>
      <c r="C628" t="s">
        <v>1275</v>
      </c>
      <c r="D628" t="s">
        <v>1409</v>
      </c>
      <c r="E628" t="s">
        <v>1410</v>
      </c>
      <c r="F628" t="s">
        <v>1278</v>
      </c>
      <c r="G628" t="s">
        <v>1411</v>
      </c>
      <c r="H628">
        <v>150720</v>
      </c>
      <c r="I628">
        <v>152296.78</v>
      </c>
      <c r="J628" t="s">
        <v>18</v>
      </c>
      <c r="K628" t="s">
        <v>40</v>
      </c>
    </row>
    <row r="629" spans="1:11" x14ac:dyDescent="0.25">
      <c r="A629" t="s">
        <v>1412</v>
      </c>
      <c r="B629" t="s">
        <v>21</v>
      </c>
      <c r="C629" t="s">
        <v>1275</v>
      </c>
      <c r="D629" t="s">
        <v>1409</v>
      </c>
      <c r="E629" t="s">
        <v>1410</v>
      </c>
      <c r="F629" t="s">
        <v>1278</v>
      </c>
      <c r="G629" t="s">
        <v>1413</v>
      </c>
      <c r="H629">
        <v>150720</v>
      </c>
      <c r="I629">
        <v>150329.12</v>
      </c>
      <c r="J629" t="s">
        <v>18</v>
      </c>
      <c r="K629" t="s">
        <v>27</v>
      </c>
    </row>
    <row r="630" spans="1:11" x14ac:dyDescent="0.25">
      <c r="A630" t="s">
        <v>1414</v>
      </c>
      <c r="B630" t="s">
        <v>25</v>
      </c>
      <c r="C630" t="s">
        <v>1275</v>
      </c>
      <c r="D630" t="s">
        <v>1409</v>
      </c>
      <c r="E630" t="s">
        <v>1410</v>
      </c>
      <c r="F630" t="s">
        <v>1278</v>
      </c>
      <c r="G630" t="s">
        <v>1415</v>
      </c>
      <c r="H630">
        <v>169560</v>
      </c>
      <c r="I630">
        <v>164803.9</v>
      </c>
      <c r="J630" t="s">
        <v>18</v>
      </c>
      <c r="K630" t="s">
        <v>40</v>
      </c>
    </row>
    <row r="631" spans="1:11" x14ac:dyDescent="0.25">
      <c r="A631" t="s">
        <v>1416</v>
      </c>
      <c r="B631" t="s">
        <v>29</v>
      </c>
      <c r="C631" t="s">
        <v>1275</v>
      </c>
      <c r="D631" t="s">
        <v>1409</v>
      </c>
      <c r="E631" t="s">
        <v>1410</v>
      </c>
      <c r="F631" t="s">
        <v>1278</v>
      </c>
      <c r="G631" t="s">
        <v>1417</v>
      </c>
      <c r="H631">
        <v>150720</v>
      </c>
      <c r="I631">
        <v>149138.25</v>
      </c>
      <c r="J631" t="s">
        <v>18</v>
      </c>
      <c r="K631" t="s">
        <v>19</v>
      </c>
    </row>
    <row r="632" spans="1:11" x14ac:dyDescent="0.25">
      <c r="A632" t="s">
        <v>1418</v>
      </c>
      <c r="B632" t="s">
        <v>32</v>
      </c>
      <c r="C632" t="s">
        <v>1275</v>
      </c>
      <c r="D632" t="s">
        <v>1409</v>
      </c>
      <c r="E632" t="s">
        <v>1410</v>
      </c>
      <c r="F632" t="s">
        <v>1278</v>
      </c>
      <c r="G632" t="s">
        <v>1419</v>
      </c>
      <c r="H632">
        <v>169560</v>
      </c>
      <c r="I632">
        <v>170306.82</v>
      </c>
      <c r="J632" t="s">
        <v>18</v>
      </c>
      <c r="K632" t="s">
        <v>40</v>
      </c>
    </row>
    <row r="633" spans="1:11" x14ac:dyDescent="0.25">
      <c r="A633" t="s">
        <v>1420</v>
      </c>
      <c r="B633" t="s">
        <v>35</v>
      </c>
      <c r="C633" t="s">
        <v>1275</v>
      </c>
      <c r="D633" t="s">
        <v>1409</v>
      </c>
      <c r="E633" t="s">
        <v>1410</v>
      </c>
      <c r="F633" t="s">
        <v>1278</v>
      </c>
      <c r="G633" t="s">
        <v>1421</v>
      </c>
      <c r="H633">
        <v>150720</v>
      </c>
      <c r="I633">
        <v>152911.70000000001</v>
      </c>
      <c r="J633" t="s">
        <v>18</v>
      </c>
      <c r="K633" t="s">
        <v>27</v>
      </c>
    </row>
    <row r="634" spans="1:11" x14ac:dyDescent="0.25">
      <c r="A634" t="s">
        <v>1422</v>
      </c>
      <c r="B634" t="s">
        <v>38</v>
      </c>
      <c r="C634" t="s">
        <v>1275</v>
      </c>
      <c r="D634" t="s">
        <v>1409</v>
      </c>
      <c r="E634" t="s">
        <v>1410</v>
      </c>
      <c r="F634" t="s">
        <v>1278</v>
      </c>
      <c r="G634" t="s">
        <v>1423</v>
      </c>
      <c r="H634">
        <v>150720</v>
      </c>
      <c r="I634">
        <v>154077.73000000001</v>
      </c>
      <c r="J634" t="s">
        <v>18</v>
      </c>
      <c r="K634" t="s">
        <v>19</v>
      </c>
    </row>
    <row r="635" spans="1:11" x14ac:dyDescent="0.25">
      <c r="A635" t="s">
        <v>1424</v>
      </c>
      <c r="B635" t="s">
        <v>42</v>
      </c>
      <c r="C635" t="s">
        <v>1275</v>
      </c>
      <c r="D635" t="s">
        <v>1409</v>
      </c>
      <c r="E635" t="s">
        <v>1410</v>
      </c>
      <c r="F635" t="s">
        <v>1278</v>
      </c>
      <c r="G635" t="s">
        <v>1425</v>
      </c>
      <c r="H635">
        <v>169560</v>
      </c>
      <c r="I635">
        <v>164758.79</v>
      </c>
      <c r="J635" t="s">
        <v>18</v>
      </c>
      <c r="K635" t="s">
        <v>40</v>
      </c>
    </row>
    <row r="636" spans="1:11" x14ac:dyDescent="0.25">
      <c r="A636" t="s">
        <v>1426</v>
      </c>
      <c r="B636" t="s">
        <v>45</v>
      </c>
      <c r="C636" t="s">
        <v>1275</v>
      </c>
      <c r="D636" t="s">
        <v>1409</v>
      </c>
      <c r="E636" t="s">
        <v>1410</v>
      </c>
      <c r="F636" t="s">
        <v>1278</v>
      </c>
      <c r="G636" t="s">
        <v>1427</v>
      </c>
      <c r="H636">
        <v>150720</v>
      </c>
      <c r="I636">
        <v>0</v>
      </c>
      <c r="J636" t="s">
        <v>50</v>
      </c>
      <c r="K636" t="s">
        <v>23</v>
      </c>
    </row>
    <row r="637" spans="1:11" x14ac:dyDescent="0.25">
      <c r="A637" t="s">
        <v>1428</v>
      </c>
      <c r="B637" t="s">
        <v>48</v>
      </c>
      <c r="C637" t="s">
        <v>1275</v>
      </c>
      <c r="D637" t="s">
        <v>1409</v>
      </c>
      <c r="E637" t="s">
        <v>1410</v>
      </c>
      <c r="F637" t="s">
        <v>1278</v>
      </c>
      <c r="G637" t="s">
        <v>1429</v>
      </c>
      <c r="H637">
        <v>150720</v>
      </c>
      <c r="I637">
        <v>0</v>
      </c>
      <c r="J637" t="s">
        <v>50</v>
      </c>
      <c r="K637" t="s">
        <v>19</v>
      </c>
    </row>
    <row r="638" spans="1:11" x14ac:dyDescent="0.25">
      <c r="A638" t="s">
        <v>1430</v>
      </c>
      <c r="B638" t="s">
        <v>52</v>
      </c>
      <c r="C638" t="s">
        <v>1275</v>
      </c>
      <c r="D638" t="s">
        <v>1409</v>
      </c>
      <c r="E638" t="s">
        <v>1410</v>
      </c>
      <c r="F638" t="s">
        <v>1278</v>
      </c>
      <c r="G638" t="s">
        <v>1431</v>
      </c>
      <c r="H638">
        <v>169560</v>
      </c>
      <c r="I638">
        <v>0</v>
      </c>
      <c r="J638" t="s">
        <v>50</v>
      </c>
      <c r="K638" t="s">
        <v>19</v>
      </c>
    </row>
    <row r="639" spans="1:11" x14ac:dyDescent="0.25">
      <c r="A639" t="s">
        <v>1432</v>
      </c>
      <c r="B639" t="s">
        <v>55</v>
      </c>
      <c r="C639" t="s">
        <v>1275</v>
      </c>
      <c r="D639" t="s">
        <v>1409</v>
      </c>
      <c r="E639" t="s">
        <v>1410</v>
      </c>
      <c r="F639" t="s">
        <v>1278</v>
      </c>
      <c r="G639" t="s">
        <v>1433</v>
      </c>
      <c r="H639">
        <v>150720</v>
      </c>
      <c r="I639">
        <v>0</v>
      </c>
      <c r="J639" t="s">
        <v>50</v>
      </c>
      <c r="K639" t="s">
        <v>40</v>
      </c>
    </row>
    <row r="640" spans="1:11" x14ac:dyDescent="0.25">
      <c r="A640" t="s">
        <v>1434</v>
      </c>
      <c r="B640" t="s">
        <v>12</v>
      </c>
      <c r="C640" t="s">
        <v>1275</v>
      </c>
      <c r="D640" t="s">
        <v>1435</v>
      </c>
      <c r="E640" t="s">
        <v>1436</v>
      </c>
      <c r="F640" t="s">
        <v>1331</v>
      </c>
      <c r="G640" t="s">
        <v>1437</v>
      </c>
      <c r="H640">
        <v>67760</v>
      </c>
      <c r="I640">
        <v>69877.240000000005</v>
      </c>
      <c r="J640" t="s">
        <v>18</v>
      </c>
      <c r="K640" t="s">
        <v>27</v>
      </c>
    </row>
    <row r="641" spans="1:11" x14ac:dyDescent="0.25">
      <c r="A641" t="s">
        <v>1438</v>
      </c>
      <c r="B641" t="s">
        <v>21</v>
      </c>
      <c r="C641" t="s">
        <v>1275</v>
      </c>
      <c r="D641" t="s">
        <v>1435</v>
      </c>
      <c r="E641" t="s">
        <v>1436</v>
      </c>
      <c r="F641" t="s">
        <v>1331</v>
      </c>
      <c r="G641" t="s">
        <v>1439</v>
      </c>
      <c r="H641">
        <v>67760</v>
      </c>
      <c r="I641">
        <v>72948.91</v>
      </c>
      <c r="J641" t="s">
        <v>18</v>
      </c>
      <c r="K641" t="s">
        <v>27</v>
      </c>
    </row>
    <row r="642" spans="1:11" x14ac:dyDescent="0.25">
      <c r="A642" t="s">
        <v>1440</v>
      </c>
      <c r="B642" t="s">
        <v>25</v>
      </c>
      <c r="C642" t="s">
        <v>1275</v>
      </c>
      <c r="D642" t="s">
        <v>1435</v>
      </c>
      <c r="E642" t="s">
        <v>1436</v>
      </c>
      <c r="F642" t="s">
        <v>1331</v>
      </c>
      <c r="G642" t="s">
        <v>1441</v>
      </c>
      <c r="H642">
        <v>76230</v>
      </c>
      <c r="I642">
        <v>72138.95</v>
      </c>
      <c r="J642" t="s">
        <v>18</v>
      </c>
      <c r="K642" t="s">
        <v>19</v>
      </c>
    </row>
    <row r="643" spans="1:11" x14ac:dyDescent="0.25">
      <c r="A643" t="s">
        <v>1442</v>
      </c>
      <c r="B643" t="s">
        <v>29</v>
      </c>
      <c r="C643" t="s">
        <v>1275</v>
      </c>
      <c r="D643" t="s">
        <v>1435</v>
      </c>
      <c r="E643" t="s">
        <v>1436</v>
      </c>
      <c r="F643" t="s">
        <v>1331</v>
      </c>
      <c r="G643" t="s">
        <v>1443</v>
      </c>
      <c r="H643">
        <v>67760</v>
      </c>
      <c r="I643">
        <v>64464.09</v>
      </c>
      <c r="J643" t="s">
        <v>18</v>
      </c>
      <c r="K643" t="s">
        <v>40</v>
      </c>
    </row>
    <row r="644" spans="1:11" x14ac:dyDescent="0.25">
      <c r="A644" t="s">
        <v>1444</v>
      </c>
      <c r="B644" t="s">
        <v>32</v>
      </c>
      <c r="C644" t="s">
        <v>1275</v>
      </c>
      <c r="D644" t="s">
        <v>1435</v>
      </c>
      <c r="E644" t="s">
        <v>1436</v>
      </c>
      <c r="F644" t="s">
        <v>1331</v>
      </c>
      <c r="G644" t="s">
        <v>1445</v>
      </c>
      <c r="H644">
        <v>76230</v>
      </c>
      <c r="I644">
        <v>71023.73</v>
      </c>
      <c r="J644" t="s">
        <v>18</v>
      </c>
      <c r="K644" t="s">
        <v>23</v>
      </c>
    </row>
    <row r="645" spans="1:11" x14ac:dyDescent="0.25">
      <c r="A645" t="s">
        <v>1446</v>
      </c>
      <c r="B645" t="s">
        <v>35</v>
      </c>
      <c r="C645" t="s">
        <v>1275</v>
      </c>
      <c r="D645" t="s">
        <v>1435</v>
      </c>
      <c r="E645" t="s">
        <v>1436</v>
      </c>
      <c r="F645" t="s">
        <v>1331</v>
      </c>
      <c r="G645" t="s">
        <v>1447</v>
      </c>
      <c r="H645">
        <v>67760</v>
      </c>
      <c r="I645">
        <v>70357.42</v>
      </c>
      <c r="J645" t="s">
        <v>18</v>
      </c>
      <c r="K645" t="s">
        <v>40</v>
      </c>
    </row>
    <row r="646" spans="1:11" x14ac:dyDescent="0.25">
      <c r="A646" t="s">
        <v>1448</v>
      </c>
      <c r="B646" t="s">
        <v>38</v>
      </c>
      <c r="C646" t="s">
        <v>1275</v>
      </c>
      <c r="D646" t="s">
        <v>1435</v>
      </c>
      <c r="E646" t="s">
        <v>1436</v>
      </c>
      <c r="F646" t="s">
        <v>1331</v>
      </c>
      <c r="G646" t="s">
        <v>1449</v>
      </c>
      <c r="H646">
        <v>67760</v>
      </c>
      <c r="I646">
        <v>67718.03</v>
      </c>
      <c r="J646" t="s">
        <v>18</v>
      </c>
      <c r="K646" t="s">
        <v>40</v>
      </c>
    </row>
    <row r="647" spans="1:11" x14ac:dyDescent="0.25">
      <c r="A647" t="s">
        <v>1450</v>
      </c>
      <c r="B647" t="s">
        <v>42</v>
      </c>
      <c r="C647" t="s">
        <v>1275</v>
      </c>
      <c r="D647" t="s">
        <v>1435</v>
      </c>
      <c r="E647" t="s">
        <v>1436</v>
      </c>
      <c r="F647" t="s">
        <v>1331</v>
      </c>
      <c r="G647" t="s">
        <v>1451</v>
      </c>
      <c r="H647">
        <v>76230</v>
      </c>
      <c r="I647">
        <v>75192.84</v>
      </c>
      <c r="J647" t="s">
        <v>18</v>
      </c>
      <c r="K647" t="s">
        <v>23</v>
      </c>
    </row>
    <row r="648" spans="1:11" x14ac:dyDescent="0.25">
      <c r="A648" t="s">
        <v>1452</v>
      </c>
      <c r="B648" t="s">
        <v>45</v>
      </c>
      <c r="C648" t="s">
        <v>1275</v>
      </c>
      <c r="D648" t="s">
        <v>1435</v>
      </c>
      <c r="E648" t="s">
        <v>1436</v>
      </c>
      <c r="F648" t="s">
        <v>1331</v>
      </c>
      <c r="G648" t="s">
        <v>1453</v>
      </c>
      <c r="H648">
        <v>67760</v>
      </c>
      <c r="I648">
        <v>0</v>
      </c>
      <c r="J648" t="s">
        <v>50</v>
      </c>
      <c r="K648" t="s">
        <v>27</v>
      </c>
    </row>
    <row r="649" spans="1:11" x14ac:dyDescent="0.25">
      <c r="A649" t="s">
        <v>1454</v>
      </c>
      <c r="B649" t="s">
        <v>48</v>
      </c>
      <c r="C649" t="s">
        <v>1275</v>
      </c>
      <c r="D649" t="s">
        <v>1435</v>
      </c>
      <c r="E649" t="s">
        <v>1436</v>
      </c>
      <c r="F649" t="s">
        <v>1331</v>
      </c>
      <c r="G649" t="s">
        <v>1455</v>
      </c>
      <c r="H649">
        <v>67760</v>
      </c>
      <c r="I649">
        <v>0</v>
      </c>
      <c r="J649" t="s">
        <v>50</v>
      </c>
      <c r="K649" t="s">
        <v>40</v>
      </c>
    </row>
    <row r="650" spans="1:11" x14ac:dyDescent="0.25">
      <c r="A650" t="s">
        <v>1456</v>
      </c>
      <c r="B650" t="s">
        <v>52</v>
      </c>
      <c r="C650" t="s">
        <v>1275</v>
      </c>
      <c r="D650" t="s">
        <v>1435</v>
      </c>
      <c r="E650" t="s">
        <v>1436</v>
      </c>
      <c r="F650" t="s">
        <v>1331</v>
      </c>
      <c r="G650" t="s">
        <v>1457</v>
      </c>
      <c r="H650">
        <v>76230</v>
      </c>
      <c r="I650">
        <v>0</v>
      </c>
      <c r="J650" t="s">
        <v>50</v>
      </c>
      <c r="K650" t="s">
        <v>23</v>
      </c>
    </row>
    <row r="651" spans="1:11" x14ac:dyDescent="0.25">
      <c r="A651" t="s">
        <v>1458</v>
      </c>
      <c r="B651" t="s">
        <v>55</v>
      </c>
      <c r="C651" t="s">
        <v>1275</v>
      </c>
      <c r="D651" t="s">
        <v>1435</v>
      </c>
      <c r="E651" t="s">
        <v>1436</v>
      </c>
      <c r="F651" t="s">
        <v>1331</v>
      </c>
      <c r="G651" t="s">
        <v>1459</v>
      </c>
      <c r="H651">
        <v>67760</v>
      </c>
      <c r="I651">
        <v>0</v>
      </c>
      <c r="J651" t="s">
        <v>50</v>
      </c>
      <c r="K651" t="s">
        <v>40</v>
      </c>
    </row>
    <row r="652" spans="1:11" x14ac:dyDescent="0.25">
      <c r="A652" t="s">
        <v>1460</v>
      </c>
      <c r="B652" t="s">
        <v>12</v>
      </c>
      <c r="C652" t="s">
        <v>1275</v>
      </c>
      <c r="D652" t="s">
        <v>1461</v>
      </c>
      <c r="E652" t="s">
        <v>1462</v>
      </c>
      <c r="F652" t="s">
        <v>1331</v>
      </c>
      <c r="G652" t="s">
        <v>1463</v>
      </c>
      <c r="H652">
        <v>21120</v>
      </c>
      <c r="I652">
        <v>21026.62</v>
      </c>
      <c r="J652" t="s">
        <v>18</v>
      </c>
      <c r="K652" t="s">
        <v>23</v>
      </c>
    </row>
    <row r="653" spans="1:11" x14ac:dyDescent="0.25">
      <c r="A653" t="s">
        <v>1464</v>
      </c>
      <c r="B653" t="s">
        <v>21</v>
      </c>
      <c r="C653" t="s">
        <v>1275</v>
      </c>
      <c r="D653" t="s">
        <v>1461</v>
      </c>
      <c r="E653" t="s">
        <v>1462</v>
      </c>
      <c r="F653" t="s">
        <v>1331</v>
      </c>
      <c r="G653" t="s">
        <v>1465</v>
      </c>
      <c r="H653">
        <v>21120</v>
      </c>
      <c r="I653">
        <v>21115.22</v>
      </c>
      <c r="J653" t="s">
        <v>18</v>
      </c>
      <c r="K653" t="s">
        <v>19</v>
      </c>
    </row>
    <row r="654" spans="1:11" x14ac:dyDescent="0.25">
      <c r="A654" t="s">
        <v>1466</v>
      </c>
      <c r="B654" t="s">
        <v>25</v>
      </c>
      <c r="C654" t="s">
        <v>1275</v>
      </c>
      <c r="D654" t="s">
        <v>1461</v>
      </c>
      <c r="E654" t="s">
        <v>1462</v>
      </c>
      <c r="F654" t="s">
        <v>1331</v>
      </c>
      <c r="G654" t="s">
        <v>1467</v>
      </c>
      <c r="H654">
        <v>23760</v>
      </c>
      <c r="I654">
        <v>21601.82</v>
      </c>
      <c r="J654" t="s">
        <v>18</v>
      </c>
      <c r="K654" t="s">
        <v>40</v>
      </c>
    </row>
    <row r="655" spans="1:11" x14ac:dyDescent="0.25">
      <c r="A655" t="s">
        <v>1468</v>
      </c>
      <c r="B655" t="s">
        <v>29</v>
      </c>
      <c r="C655" t="s">
        <v>1275</v>
      </c>
      <c r="D655" t="s">
        <v>1461</v>
      </c>
      <c r="E655" t="s">
        <v>1462</v>
      </c>
      <c r="F655" t="s">
        <v>1331</v>
      </c>
      <c r="G655" t="s">
        <v>1469</v>
      </c>
      <c r="H655">
        <v>21120</v>
      </c>
      <c r="I655">
        <v>20544.39</v>
      </c>
      <c r="J655" t="s">
        <v>18</v>
      </c>
      <c r="K655" t="s">
        <v>40</v>
      </c>
    </row>
    <row r="656" spans="1:11" x14ac:dyDescent="0.25">
      <c r="A656" t="s">
        <v>1470</v>
      </c>
      <c r="B656" t="s">
        <v>32</v>
      </c>
      <c r="C656" t="s">
        <v>1275</v>
      </c>
      <c r="D656" t="s">
        <v>1461</v>
      </c>
      <c r="E656" t="s">
        <v>1462</v>
      </c>
      <c r="F656" t="s">
        <v>1331</v>
      </c>
      <c r="G656" t="s">
        <v>1471</v>
      </c>
      <c r="H656">
        <v>23760</v>
      </c>
      <c r="I656">
        <v>23440.9</v>
      </c>
      <c r="J656" t="s">
        <v>18</v>
      </c>
      <c r="K656" t="s">
        <v>19</v>
      </c>
    </row>
    <row r="657" spans="1:11" x14ac:dyDescent="0.25">
      <c r="A657" t="s">
        <v>1472</v>
      </c>
      <c r="B657" t="s">
        <v>35</v>
      </c>
      <c r="C657" t="s">
        <v>1275</v>
      </c>
      <c r="D657" t="s">
        <v>1461</v>
      </c>
      <c r="E657" t="s">
        <v>1462</v>
      </c>
      <c r="F657" t="s">
        <v>1331</v>
      </c>
      <c r="G657" t="s">
        <v>1473</v>
      </c>
      <c r="H657">
        <v>21120</v>
      </c>
      <c r="I657">
        <v>21153.57</v>
      </c>
      <c r="J657" t="s">
        <v>18</v>
      </c>
      <c r="K657" t="s">
        <v>40</v>
      </c>
    </row>
    <row r="658" spans="1:11" x14ac:dyDescent="0.25">
      <c r="A658" t="s">
        <v>1474</v>
      </c>
      <c r="B658" t="s">
        <v>38</v>
      </c>
      <c r="C658" t="s">
        <v>1275</v>
      </c>
      <c r="D658" t="s">
        <v>1461</v>
      </c>
      <c r="E658" t="s">
        <v>1462</v>
      </c>
      <c r="F658" t="s">
        <v>1331</v>
      </c>
      <c r="G658" t="s">
        <v>1475</v>
      </c>
      <c r="H658">
        <v>21120</v>
      </c>
      <c r="I658">
        <v>20725.599999999999</v>
      </c>
      <c r="J658" t="s">
        <v>18</v>
      </c>
      <c r="K658" t="s">
        <v>19</v>
      </c>
    </row>
    <row r="659" spans="1:11" x14ac:dyDescent="0.25">
      <c r="A659" t="s">
        <v>1476</v>
      </c>
      <c r="B659" t="s">
        <v>42</v>
      </c>
      <c r="C659" t="s">
        <v>1275</v>
      </c>
      <c r="D659" t="s">
        <v>1461</v>
      </c>
      <c r="E659" t="s">
        <v>1462</v>
      </c>
      <c r="F659" t="s">
        <v>1331</v>
      </c>
      <c r="G659" t="s">
        <v>1477</v>
      </c>
      <c r="H659">
        <v>23760</v>
      </c>
      <c r="I659">
        <v>23896.27</v>
      </c>
      <c r="J659" t="s">
        <v>18</v>
      </c>
      <c r="K659" t="s">
        <v>19</v>
      </c>
    </row>
    <row r="660" spans="1:11" x14ac:dyDescent="0.25">
      <c r="A660" t="s">
        <v>1478</v>
      </c>
      <c r="B660" t="s">
        <v>45</v>
      </c>
      <c r="C660" t="s">
        <v>1275</v>
      </c>
      <c r="D660" t="s">
        <v>1461</v>
      </c>
      <c r="E660" t="s">
        <v>1462</v>
      </c>
      <c r="F660" t="s">
        <v>1331</v>
      </c>
      <c r="G660" t="s">
        <v>1479</v>
      </c>
      <c r="H660">
        <v>21120</v>
      </c>
      <c r="I660">
        <v>0</v>
      </c>
      <c r="J660" t="s">
        <v>50</v>
      </c>
      <c r="K660" t="s">
        <v>40</v>
      </c>
    </row>
    <row r="661" spans="1:11" x14ac:dyDescent="0.25">
      <c r="A661" t="s">
        <v>1480</v>
      </c>
      <c r="B661" t="s">
        <v>48</v>
      </c>
      <c r="C661" t="s">
        <v>1275</v>
      </c>
      <c r="D661" t="s">
        <v>1461</v>
      </c>
      <c r="E661" t="s">
        <v>1462</v>
      </c>
      <c r="F661" t="s">
        <v>1331</v>
      </c>
      <c r="G661" t="s">
        <v>1481</v>
      </c>
      <c r="H661">
        <v>21120</v>
      </c>
      <c r="I661">
        <v>0</v>
      </c>
      <c r="J661" t="s">
        <v>50</v>
      </c>
      <c r="K661" t="s">
        <v>19</v>
      </c>
    </row>
    <row r="662" spans="1:11" x14ac:dyDescent="0.25">
      <c r="A662" t="s">
        <v>1482</v>
      </c>
      <c r="B662" t="s">
        <v>52</v>
      </c>
      <c r="C662" t="s">
        <v>1275</v>
      </c>
      <c r="D662" t="s">
        <v>1461</v>
      </c>
      <c r="E662" t="s">
        <v>1462</v>
      </c>
      <c r="F662" t="s">
        <v>1331</v>
      </c>
      <c r="G662" t="s">
        <v>1483</v>
      </c>
      <c r="H662">
        <v>23760</v>
      </c>
      <c r="I662">
        <v>0</v>
      </c>
      <c r="J662" t="s">
        <v>50</v>
      </c>
      <c r="K662" t="s">
        <v>27</v>
      </c>
    </row>
    <row r="663" spans="1:11" x14ac:dyDescent="0.25">
      <c r="A663" t="s">
        <v>1484</v>
      </c>
      <c r="B663" t="s">
        <v>55</v>
      </c>
      <c r="C663" t="s">
        <v>1275</v>
      </c>
      <c r="D663" t="s">
        <v>1461</v>
      </c>
      <c r="E663" t="s">
        <v>1462</v>
      </c>
      <c r="F663" t="s">
        <v>1331</v>
      </c>
      <c r="G663" t="s">
        <v>1485</v>
      </c>
      <c r="H663">
        <v>21120</v>
      </c>
      <c r="I663">
        <v>0</v>
      </c>
      <c r="J663" t="s">
        <v>50</v>
      </c>
      <c r="K663" t="s">
        <v>40</v>
      </c>
    </row>
    <row r="664" spans="1:11" x14ac:dyDescent="0.25">
      <c r="A664" t="s">
        <v>1486</v>
      </c>
      <c r="B664" t="s">
        <v>12</v>
      </c>
      <c r="C664" t="s">
        <v>1275</v>
      </c>
      <c r="D664" t="s">
        <v>1487</v>
      </c>
      <c r="E664" t="s">
        <v>1488</v>
      </c>
      <c r="F664" t="s">
        <v>1358</v>
      </c>
      <c r="G664" t="s">
        <v>1489</v>
      </c>
      <c r="H664">
        <v>9920</v>
      </c>
      <c r="I664">
        <v>10013.709999999999</v>
      </c>
      <c r="J664" t="s">
        <v>18</v>
      </c>
      <c r="K664" t="s">
        <v>27</v>
      </c>
    </row>
    <row r="665" spans="1:11" x14ac:dyDescent="0.25">
      <c r="A665" t="s">
        <v>1490</v>
      </c>
      <c r="B665" t="s">
        <v>21</v>
      </c>
      <c r="C665" t="s">
        <v>1275</v>
      </c>
      <c r="D665" t="s">
        <v>1487</v>
      </c>
      <c r="E665" t="s">
        <v>1488</v>
      </c>
      <c r="F665" t="s">
        <v>1358</v>
      </c>
      <c r="G665" t="s">
        <v>1491</v>
      </c>
      <c r="H665">
        <v>9920</v>
      </c>
      <c r="I665">
        <v>10306.4</v>
      </c>
      <c r="J665" t="s">
        <v>18</v>
      </c>
      <c r="K665" t="s">
        <v>19</v>
      </c>
    </row>
    <row r="666" spans="1:11" x14ac:dyDescent="0.25">
      <c r="A666" t="s">
        <v>1492</v>
      </c>
      <c r="B666" t="s">
        <v>25</v>
      </c>
      <c r="C666" t="s">
        <v>1275</v>
      </c>
      <c r="D666" t="s">
        <v>1487</v>
      </c>
      <c r="E666" t="s">
        <v>1488</v>
      </c>
      <c r="F666" t="s">
        <v>1358</v>
      </c>
      <c r="G666" t="s">
        <v>1493</v>
      </c>
      <c r="H666">
        <v>11160</v>
      </c>
      <c r="I666">
        <v>10966.49</v>
      </c>
      <c r="J666" t="s">
        <v>18</v>
      </c>
      <c r="K666" t="s">
        <v>19</v>
      </c>
    </row>
    <row r="667" spans="1:11" x14ac:dyDescent="0.25">
      <c r="A667" t="s">
        <v>1494</v>
      </c>
      <c r="B667" t="s">
        <v>29</v>
      </c>
      <c r="C667" t="s">
        <v>1275</v>
      </c>
      <c r="D667" t="s">
        <v>1487</v>
      </c>
      <c r="E667" t="s">
        <v>1488</v>
      </c>
      <c r="F667" t="s">
        <v>1358</v>
      </c>
      <c r="G667" t="s">
        <v>1495</v>
      </c>
      <c r="H667">
        <v>9920</v>
      </c>
      <c r="I667">
        <v>9694.65</v>
      </c>
      <c r="J667" t="s">
        <v>18</v>
      </c>
      <c r="K667" t="s">
        <v>23</v>
      </c>
    </row>
    <row r="668" spans="1:11" x14ac:dyDescent="0.25">
      <c r="A668" t="s">
        <v>1496</v>
      </c>
      <c r="B668" t="s">
        <v>32</v>
      </c>
      <c r="C668" t="s">
        <v>1275</v>
      </c>
      <c r="D668" t="s">
        <v>1487</v>
      </c>
      <c r="E668" t="s">
        <v>1488</v>
      </c>
      <c r="F668" t="s">
        <v>1358</v>
      </c>
      <c r="G668" t="s">
        <v>1497</v>
      </c>
      <c r="H668">
        <v>11160</v>
      </c>
      <c r="I668">
        <v>11045.22</v>
      </c>
      <c r="J668" t="s">
        <v>18</v>
      </c>
      <c r="K668" t="s">
        <v>19</v>
      </c>
    </row>
    <row r="669" spans="1:11" x14ac:dyDescent="0.25">
      <c r="A669" t="s">
        <v>1498</v>
      </c>
      <c r="B669" t="s">
        <v>35</v>
      </c>
      <c r="C669" t="s">
        <v>1275</v>
      </c>
      <c r="D669" t="s">
        <v>1487</v>
      </c>
      <c r="E669" t="s">
        <v>1488</v>
      </c>
      <c r="F669" t="s">
        <v>1358</v>
      </c>
      <c r="G669" t="s">
        <v>1499</v>
      </c>
      <c r="H669">
        <v>9920</v>
      </c>
      <c r="I669">
        <v>10407.959999999999</v>
      </c>
      <c r="J669" t="s">
        <v>18</v>
      </c>
      <c r="K669" t="s">
        <v>23</v>
      </c>
    </row>
    <row r="670" spans="1:11" x14ac:dyDescent="0.25">
      <c r="A670" t="s">
        <v>1500</v>
      </c>
      <c r="B670" t="s">
        <v>38</v>
      </c>
      <c r="C670" t="s">
        <v>1275</v>
      </c>
      <c r="D670" t="s">
        <v>1487</v>
      </c>
      <c r="E670" t="s">
        <v>1488</v>
      </c>
      <c r="F670" t="s">
        <v>1358</v>
      </c>
      <c r="G670" t="s">
        <v>1501</v>
      </c>
      <c r="H670">
        <v>9920</v>
      </c>
      <c r="I670">
        <v>10236.35</v>
      </c>
      <c r="J670" t="s">
        <v>18</v>
      </c>
      <c r="K670" t="s">
        <v>23</v>
      </c>
    </row>
    <row r="671" spans="1:11" x14ac:dyDescent="0.25">
      <c r="A671" t="s">
        <v>1502</v>
      </c>
      <c r="B671" t="s">
        <v>42</v>
      </c>
      <c r="C671" t="s">
        <v>1275</v>
      </c>
      <c r="D671" t="s">
        <v>1487</v>
      </c>
      <c r="E671" t="s">
        <v>1488</v>
      </c>
      <c r="F671" t="s">
        <v>1358</v>
      </c>
      <c r="G671" t="s">
        <v>1503</v>
      </c>
      <c r="H671">
        <v>11160</v>
      </c>
      <c r="I671">
        <v>10407.26</v>
      </c>
      <c r="J671" t="s">
        <v>18</v>
      </c>
      <c r="K671" t="s">
        <v>27</v>
      </c>
    </row>
    <row r="672" spans="1:11" x14ac:dyDescent="0.25">
      <c r="A672" t="s">
        <v>1504</v>
      </c>
      <c r="B672" t="s">
        <v>45</v>
      </c>
      <c r="C672" t="s">
        <v>1275</v>
      </c>
      <c r="D672" t="s">
        <v>1487</v>
      </c>
      <c r="E672" t="s">
        <v>1488</v>
      </c>
      <c r="F672" t="s">
        <v>1358</v>
      </c>
      <c r="G672" t="s">
        <v>1505</v>
      </c>
      <c r="H672">
        <v>9920</v>
      </c>
      <c r="I672">
        <v>0</v>
      </c>
      <c r="J672" t="s">
        <v>50</v>
      </c>
      <c r="K672" t="s">
        <v>40</v>
      </c>
    </row>
    <row r="673" spans="1:11" x14ac:dyDescent="0.25">
      <c r="A673" t="s">
        <v>1506</v>
      </c>
      <c r="B673" t="s">
        <v>48</v>
      </c>
      <c r="C673" t="s">
        <v>1275</v>
      </c>
      <c r="D673" t="s">
        <v>1487</v>
      </c>
      <c r="E673" t="s">
        <v>1488</v>
      </c>
      <c r="F673" t="s">
        <v>1358</v>
      </c>
      <c r="G673" t="s">
        <v>1507</v>
      </c>
      <c r="H673">
        <v>9920</v>
      </c>
      <c r="I673">
        <v>0</v>
      </c>
      <c r="J673" t="s">
        <v>50</v>
      </c>
      <c r="K673" t="s">
        <v>23</v>
      </c>
    </row>
    <row r="674" spans="1:11" x14ac:dyDescent="0.25">
      <c r="A674" t="s">
        <v>1508</v>
      </c>
      <c r="B674" t="s">
        <v>52</v>
      </c>
      <c r="C674" t="s">
        <v>1275</v>
      </c>
      <c r="D674" t="s">
        <v>1487</v>
      </c>
      <c r="E674" t="s">
        <v>1488</v>
      </c>
      <c r="F674" t="s">
        <v>1358</v>
      </c>
      <c r="G674" t="s">
        <v>1509</v>
      </c>
      <c r="H674">
        <v>11160</v>
      </c>
      <c r="I674">
        <v>0</v>
      </c>
      <c r="J674" t="s">
        <v>50</v>
      </c>
      <c r="K674" t="s">
        <v>23</v>
      </c>
    </row>
    <row r="675" spans="1:11" x14ac:dyDescent="0.25">
      <c r="A675" t="s">
        <v>1510</v>
      </c>
      <c r="B675" t="s">
        <v>55</v>
      </c>
      <c r="C675" t="s">
        <v>1275</v>
      </c>
      <c r="D675" t="s">
        <v>1487</v>
      </c>
      <c r="E675" t="s">
        <v>1488</v>
      </c>
      <c r="F675" t="s">
        <v>1358</v>
      </c>
      <c r="G675" t="s">
        <v>1511</v>
      </c>
      <c r="H675">
        <v>9920</v>
      </c>
      <c r="I675">
        <v>0</v>
      </c>
      <c r="J675" t="s">
        <v>50</v>
      </c>
      <c r="K675" t="s">
        <v>40</v>
      </c>
    </row>
    <row r="676" spans="1:11" x14ac:dyDescent="0.25">
      <c r="A676" t="s">
        <v>1512</v>
      </c>
      <c r="B676" t="s">
        <v>12</v>
      </c>
      <c r="C676" t="s">
        <v>1275</v>
      </c>
      <c r="D676" t="s">
        <v>1513</v>
      </c>
      <c r="E676" t="s">
        <v>1514</v>
      </c>
      <c r="F676" t="s">
        <v>1358</v>
      </c>
      <c r="G676" t="s">
        <v>1515</v>
      </c>
      <c r="H676">
        <v>100480</v>
      </c>
      <c r="I676">
        <v>107385.51</v>
      </c>
      <c r="J676" t="s">
        <v>18</v>
      </c>
      <c r="K676" t="s">
        <v>19</v>
      </c>
    </row>
    <row r="677" spans="1:11" x14ac:dyDescent="0.25">
      <c r="A677" t="s">
        <v>1516</v>
      </c>
      <c r="B677" t="s">
        <v>21</v>
      </c>
      <c r="C677" t="s">
        <v>1275</v>
      </c>
      <c r="D677" t="s">
        <v>1513</v>
      </c>
      <c r="E677" t="s">
        <v>1514</v>
      </c>
      <c r="F677" t="s">
        <v>1358</v>
      </c>
      <c r="G677" t="s">
        <v>521</v>
      </c>
      <c r="H677">
        <v>100480</v>
      </c>
      <c r="I677">
        <v>104165.81</v>
      </c>
      <c r="J677" t="s">
        <v>18</v>
      </c>
      <c r="K677" t="s">
        <v>27</v>
      </c>
    </row>
    <row r="678" spans="1:11" x14ac:dyDescent="0.25">
      <c r="A678" t="s">
        <v>1517</v>
      </c>
      <c r="B678" t="s">
        <v>25</v>
      </c>
      <c r="C678" t="s">
        <v>1275</v>
      </c>
      <c r="D678" t="s">
        <v>1513</v>
      </c>
      <c r="E678" t="s">
        <v>1514</v>
      </c>
      <c r="F678" t="s">
        <v>1358</v>
      </c>
      <c r="G678" t="s">
        <v>1518</v>
      </c>
      <c r="H678">
        <v>113040</v>
      </c>
      <c r="I678">
        <v>105404.65</v>
      </c>
      <c r="J678" t="s">
        <v>18</v>
      </c>
      <c r="K678" t="s">
        <v>23</v>
      </c>
    </row>
    <row r="679" spans="1:11" x14ac:dyDescent="0.25">
      <c r="A679" t="s">
        <v>1519</v>
      </c>
      <c r="B679" t="s">
        <v>29</v>
      </c>
      <c r="C679" t="s">
        <v>1275</v>
      </c>
      <c r="D679" t="s">
        <v>1513</v>
      </c>
      <c r="E679" t="s">
        <v>1514</v>
      </c>
      <c r="F679" t="s">
        <v>1358</v>
      </c>
      <c r="G679" t="s">
        <v>1520</v>
      </c>
      <c r="H679">
        <v>100480</v>
      </c>
      <c r="I679">
        <v>98818.53</v>
      </c>
      <c r="J679" t="s">
        <v>18</v>
      </c>
      <c r="K679" t="s">
        <v>23</v>
      </c>
    </row>
    <row r="680" spans="1:11" x14ac:dyDescent="0.25">
      <c r="A680" t="s">
        <v>1521</v>
      </c>
      <c r="B680" t="s">
        <v>32</v>
      </c>
      <c r="C680" t="s">
        <v>1275</v>
      </c>
      <c r="D680" t="s">
        <v>1513</v>
      </c>
      <c r="E680" t="s">
        <v>1514</v>
      </c>
      <c r="F680" t="s">
        <v>1358</v>
      </c>
      <c r="G680" t="s">
        <v>1522</v>
      </c>
      <c r="H680">
        <v>113040</v>
      </c>
      <c r="I680">
        <v>115833.7</v>
      </c>
      <c r="J680" t="s">
        <v>18</v>
      </c>
      <c r="K680" t="s">
        <v>27</v>
      </c>
    </row>
    <row r="681" spans="1:11" x14ac:dyDescent="0.25">
      <c r="A681" t="s">
        <v>1523</v>
      </c>
      <c r="B681" t="s">
        <v>35</v>
      </c>
      <c r="C681" t="s">
        <v>1275</v>
      </c>
      <c r="D681" t="s">
        <v>1513</v>
      </c>
      <c r="E681" t="s">
        <v>1514</v>
      </c>
      <c r="F681" t="s">
        <v>1358</v>
      </c>
      <c r="G681" t="s">
        <v>1524</v>
      </c>
      <c r="H681">
        <v>100480</v>
      </c>
      <c r="I681">
        <v>101660.9</v>
      </c>
      <c r="J681" t="s">
        <v>18</v>
      </c>
      <c r="K681" t="s">
        <v>23</v>
      </c>
    </row>
    <row r="682" spans="1:11" x14ac:dyDescent="0.25">
      <c r="A682" t="s">
        <v>1525</v>
      </c>
      <c r="B682" t="s">
        <v>38</v>
      </c>
      <c r="C682" t="s">
        <v>1275</v>
      </c>
      <c r="D682" t="s">
        <v>1513</v>
      </c>
      <c r="E682" t="s">
        <v>1514</v>
      </c>
      <c r="F682" t="s">
        <v>1358</v>
      </c>
      <c r="G682" t="s">
        <v>1526</v>
      </c>
      <c r="H682">
        <v>100480</v>
      </c>
      <c r="I682">
        <v>97524.800000000003</v>
      </c>
      <c r="J682" t="s">
        <v>18</v>
      </c>
      <c r="K682" t="s">
        <v>27</v>
      </c>
    </row>
    <row r="683" spans="1:11" x14ac:dyDescent="0.25">
      <c r="A683" t="s">
        <v>1527</v>
      </c>
      <c r="B683" t="s">
        <v>42</v>
      </c>
      <c r="C683" t="s">
        <v>1275</v>
      </c>
      <c r="D683" t="s">
        <v>1513</v>
      </c>
      <c r="E683" t="s">
        <v>1514</v>
      </c>
      <c r="F683" t="s">
        <v>1358</v>
      </c>
      <c r="G683" t="s">
        <v>1528</v>
      </c>
      <c r="H683">
        <v>113040</v>
      </c>
      <c r="I683">
        <v>110729.7</v>
      </c>
      <c r="J683" t="s">
        <v>18</v>
      </c>
      <c r="K683" t="s">
        <v>27</v>
      </c>
    </row>
    <row r="684" spans="1:11" x14ac:dyDescent="0.25">
      <c r="A684" t="s">
        <v>1529</v>
      </c>
      <c r="B684" t="s">
        <v>45</v>
      </c>
      <c r="C684" t="s">
        <v>1275</v>
      </c>
      <c r="D684" t="s">
        <v>1513</v>
      </c>
      <c r="E684" t="s">
        <v>1514</v>
      </c>
      <c r="F684" t="s">
        <v>1358</v>
      </c>
      <c r="G684" t="s">
        <v>1530</v>
      </c>
      <c r="H684">
        <v>100480</v>
      </c>
      <c r="I684">
        <v>0</v>
      </c>
      <c r="J684" t="s">
        <v>50</v>
      </c>
      <c r="K684" t="s">
        <v>40</v>
      </c>
    </row>
    <row r="685" spans="1:11" x14ac:dyDescent="0.25">
      <c r="A685" t="s">
        <v>1531</v>
      </c>
      <c r="B685" t="s">
        <v>48</v>
      </c>
      <c r="C685" t="s">
        <v>1275</v>
      </c>
      <c r="D685" t="s">
        <v>1513</v>
      </c>
      <c r="E685" t="s">
        <v>1514</v>
      </c>
      <c r="F685" t="s">
        <v>1358</v>
      </c>
      <c r="G685" t="s">
        <v>1532</v>
      </c>
      <c r="H685">
        <v>100480</v>
      </c>
      <c r="I685">
        <v>0</v>
      </c>
      <c r="J685" t="s">
        <v>50</v>
      </c>
      <c r="K685" t="s">
        <v>40</v>
      </c>
    </row>
    <row r="686" spans="1:11" x14ac:dyDescent="0.25">
      <c r="A686" t="s">
        <v>1533</v>
      </c>
      <c r="B686" t="s">
        <v>52</v>
      </c>
      <c r="C686" t="s">
        <v>1275</v>
      </c>
      <c r="D686" t="s">
        <v>1513</v>
      </c>
      <c r="E686" t="s">
        <v>1514</v>
      </c>
      <c r="F686" t="s">
        <v>1358</v>
      </c>
      <c r="G686" t="s">
        <v>1534</v>
      </c>
      <c r="H686">
        <v>113040</v>
      </c>
      <c r="I686">
        <v>0</v>
      </c>
      <c r="J686" t="s">
        <v>50</v>
      </c>
      <c r="K686" t="s">
        <v>40</v>
      </c>
    </row>
    <row r="687" spans="1:11" x14ac:dyDescent="0.25">
      <c r="A687" t="s">
        <v>1535</v>
      </c>
      <c r="B687" t="s">
        <v>55</v>
      </c>
      <c r="C687" t="s">
        <v>1275</v>
      </c>
      <c r="D687" t="s">
        <v>1513</v>
      </c>
      <c r="E687" t="s">
        <v>1514</v>
      </c>
      <c r="F687" t="s">
        <v>1358</v>
      </c>
      <c r="G687" t="s">
        <v>1536</v>
      </c>
      <c r="H687">
        <v>100480</v>
      </c>
      <c r="I687">
        <v>0</v>
      </c>
      <c r="J687" t="s">
        <v>50</v>
      </c>
      <c r="K687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B1EF-016B-433D-8242-BB4F4B74FA26}">
  <sheetPr>
    <tabColor theme="5" tint="0.79998168889431442"/>
  </sheetPr>
  <dimension ref="A1:H59"/>
  <sheetViews>
    <sheetView workbookViewId="0">
      <selection activeCell="D13" sqref="D13"/>
    </sheetView>
  </sheetViews>
  <sheetFormatPr defaultRowHeight="15" x14ac:dyDescent="0.25"/>
  <cols>
    <col min="2" max="2" width="12.42578125" customWidth="1"/>
    <col min="3" max="3" width="13.28515625" customWidth="1"/>
    <col min="4" max="4" width="16.85546875" customWidth="1"/>
    <col min="5" max="5" width="19.85546875" customWidth="1"/>
    <col min="6" max="6" width="14.140625" customWidth="1"/>
    <col min="7" max="7" width="12.42578125" customWidth="1"/>
    <col min="8" max="8" width="16.7109375" customWidth="1"/>
  </cols>
  <sheetData>
    <row r="1" spans="1:8" x14ac:dyDescent="0.25">
      <c r="A1" t="s">
        <v>2</v>
      </c>
      <c r="B1" t="s">
        <v>3</v>
      </c>
      <c r="C1" t="s">
        <v>4</v>
      </c>
      <c r="D1" t="s">
        <v>1537</v>
      </c>
      <c r="E1" t="s">
        <v>1538</v>
      </c>
      <c r="F1" t="s">
        <v>1539</v>
      </c>
      <c r="G1" t="s">
        <v>5</v>
      </c>
      <c r="H1" t="s">
        <v>1540</v>
      </c>
    </row>
    <row r="2" spans="1:8" x14ac:dyDescent="0.25">
      <c r="A2" t="s">
        <v>13</v>
      </c>
      <c r="B2" t="s">
        <v>14</v>
      </c>
      <c r="C2" t="s">
        <v>15</v>
      </c>
      <c r="D2">
        <v>1642000</v>
      </c>
      <c r="E2">
        <v>83000</v>
      </c>
      <c r="F2">
        <v>120000</v>
      </c>
      <c r="G2" t="s">
        <v>16</v>
      </c>
      <c r="H2">
        <v>1725000</v>
      </c>
    </row>
    <row r="3" spans="1:8" x14ac:dyDescent="0.25">
      <c r="A3" t="s">
        <v>13</v>
      </c>
      <c r="B3" t="s">
        <v>58</v>
      </c>
      <c r="C3" t="s">
        <v>59</v>
      </c>
      <c r="D3">
        <v>1705000</v>
      </c>
      <c r="E3">
        <v>-16000</v>
      </c>
      <c r="F3">
        <v>116000</v>
      </c>
      <c r="G3" t="s">
        <v>16</v>
      </c>
      <c r="H3">
        <v>1689000</v>
      </c>
    </row>
    <row r="4" spans="1:8" x14ac:dyDescent="0.25">
      <c r="A4" t="s">
        <v>13</v>
      </c>
      <c r="B4" t="s">
        <v>85</v>
      </c>
      <c r="C4" t="s">
        <v>86</v>
      </c>
      <c r="D4">
        <v>663000</v>
      </c>
      <c r="E4">
        <v>2000</v>
      </c>
      <c r="F4">
        <v>49000</v>
      </c>
      <c r="G4" t="s">
        <v>16</v>
      </c>
      <c r="H4">
        <v>665000</v>
      </c>
    </row>
    <row r="5" spans="1:8" x14ac:dyDescent="0.25">
      <c r="A5" t="s">
        <v>13</v>
      </c>
      <c r="B5" t="s">
        <v>111</v>
      </c>
      <c r="C5" t="s">
        <v>112</v>
      </c>
      <c r="D5">
        <v>2581000</v>
      </c>
      <c r="E5">
        <v>-28000</v>
      </c>
      <c r="F5">
        <v>266000</v>
      </c>
      <c r="G5" t="s">
        <v>16</v>
      </c>
      <c r="H5">
        <v>2553000</v>
      </c>
    </row>
    <row r="6" spans="1:8" x14ac:dyDescent="0.25">
      <c r="A6" t="s">
        <v>13</v>
      </c>
      <c r="B6" t="s">
        <v>137</v>
      </c>
      <c r="C6" t="s">
        <v>138</v>
      </c>
      <c r="D6">
        <v>6485000</v>
      </c>
      <c r="E6">
        <v>395000</v>
      </c>
      <c r="F6">
        <v>731000</v>
      </c>
      <c r="G6" t="s">
        <v>16</v>
      </c>
      <c r="H6">
        <v>6880000</v>
      </c>
    </row>
    <row r="7" spans="1:8" x14ac:dyDescent="0.25">
      <c r="A7" t="s">
        <v>13</v>
      </c>
      <c r="B7" t="s">
        <v>163</v>
      </c>
      <c r="C7" t="s">
        <v>164</v>
      </c>
      <c r="D7">
        <v>1397000</v>
      </c>
      <c r="E7">
        <v>20000</v>
      </c>
      <c r="F7">
        <v>102000</v>
      </c>
      <c r="G7" t="s">
        <v>191</v>
      </c>
      <c r="H7">
        <v>1417000</v>
      </c>
    </row>
    <row r="8" spans="1:8" x14ac:dyDescent="0.25">
      <c r="A8" t="s">
        <v>13</v>
      </c>
      <c r="B8" t="s">
        <v>189</v>
      </c>
      <c r="C8" t="s">
        <v>190</v>
      </c>
      <c r="D8">
        <v>890000</v>
      </c>
      <c r="E8">
        <v>-13000</v>
      </c>
      <c r="F8">
        <v>56000</v>
      </c>
      <c r="G8" t="s">
        <v>60</v>
      </c>
      <c r="H8">
        <v>877000</v>
      </c>
    </row>
    <row r="9" spans="1:8" x14ac:dyDescent="0.25">
      <c r="A9" t="s">
        <v>13</v>
      </c>
      <c r="B9" t="s">
        <v>216</v>
      </c>
      <c r="C9" t="s">
        <v>217</v>
      </c>
      <c r="D9">
        <v>1133000</v>
      </c>
      <c r="E9">
        <v>-33000</v>
      </c>
      <c r="F9">
        <v>131000</v>
      </c>
      <c r="G9" t="s">
        <v>60</v>
      </c>
      <c r="H9">
        <v>1100000</v>
      </c>
    </row>
    <row r="10" spans="1:8" x14ac:dyDescent="0.25">
      <c r="A10" t="s">
        <v>13</v>
      </c>
      <c r="B10" t="s">
        <v>242</v>
      </c>
      <c r="C10" t="s">
        <v>243</v>
      </c>
      <c r="D10">
        <v>452000</v>
      </c>
      <c r="E10">
        <v>24000</v>
      </c>
      <c r="F10">
        <v>30000</v>
      </c>
      <c r="G10" t="s">
        <v>60</v>
      </c>
      <c r="H10">
        <v>476000</v>
      </c>
    </row>
    <row r="11" spans="1:8" x14ac:dyDescent="0.25">
      <c r="A11" t="s">
        <v>13</v>
      </c>
      <c r="B11" t="s">
        <v>267</v>
      </c>
      <c r="C11" t="s">
        <v>268</v>
      </c>
      <c r="D11">
        <v>1553000</v>
      </c>
      <c r="E11">
        <v>77000</v>
      </c>
      <c r="F11">
        <v>110000</v>
      </c>
      <c r="G11" t="s">
        <v>191</v>
      </c>
      <c r="H11">
        <v>1630000</v>
      </c>
    </row>
    <row r="12" spans="1:8" x14ac:dyDescent="0.25">
      <c r="A12" t="s">
        <v>293</v>
      </c>
      <c r="B12" t="s">
        <v>294</v>
      </c>
      <c r="C12" t="s">
        <v>295</v>
      </c>
      <c r="D12">
        <v>3810000</v>
      </c>
      <c r="E12">
        <v>36000</v>
      </c>
      <c r="F12">
        <v>260000</v>
      </c>
      <c r="G12" t="s">
        <v>323</v>
      </c>
      <c r="H12">
        <v>3846000</v>
      </c>
    </row>
    <row r="13" spans="1:8" x14ac:dyDescent="0.25">
      <c r="A13" t="s">
        <v>293</v>
      </c>
      <c r="B13" t="s">
        <v>321</v>
      </c>
      <c r="C13" t="s">
        <v>322</v>
      </c>
      <c r="D13">
        <v>4264000</v>
      </c>
      <c r="E13">
        <v>-72000</v>
      </c>
      <c r="F13">
        <v>232000</v>
      </c>
      <c r="G13" t="s">
        <v>376</v>
      </c>
      <c r="H13">
        <v>4192000</v>
      </c>
    </row>
    <row r="14" spans="1:8" x14ac:dyDescent="0.25">
      <c r="A14" t="s">
        <v>293</v>
      </c>
      <c r="B14" t="s">
        <v>348</v>
      </c>
      <c r="C14" t="s">
        <v>349</v>
      </c>
      <c r="D14">
        <v>7492000</v>
      </c>
      <c r="E14">
        <v>341000</v>
      </c>
      <c r="F14">
        <v>458000</v>
      </c>
      <c r="G14" t="s">
        <v>296</v>
      </c>
      <c r="H14">
        <v>7833000</v>
      </c>
    </row>
    <row r="15" spans="1:8" x14ac:dyDescent="0.25">
      <c r="A15" t="s">
        <v>293</v>
      </c>
      <c r="B15" t="s">
        <v>374</v>
      </c>
      <c r="C15" t="s">
        <v>375</v>
      </c>
      <c r="D15">
        <v>2445000</v>
      </c>
      <c r="E15">
        <v>112000</v>
      </c>
      <c r="F15">
        <v>254000</v>
      </c>
      <c r="G15" t="s">
        <v>296</v>
      </c>
      <c r="H15">
        <v>2557000</v>
      </c>
    </row>
    <row r="16" spans="1:8" x14ac:dyDescent="0.25">
      <c r="A16" t="s">
        <v>293</v>
      </c>
      <c r="B16" t="s">
        <v>401</v>
      </c>
      <c r="C16" t="s">
        <v>402</v>
      </c>
      <c r="D16">
        <v>2614000</v>
      </c>
      <c r="E16">
        <v>6000</v>
      </c>
      <c r="F16">
        <v>298000</v>
      </c>
      <c r="G16" t="s">
        <v>296</v>
      </c>
      <c r="H16">
        <v>2620000</v>
      </c>
    </row>
    <row r="17" spans="1:8" x14ac:dyDescent="0.25">
      <c r="A17" t="s">
        <v>293</v>
      </c>
      <c r="B17" t="s">
        <v>427</v>
      </c>
      <c r="C17" t="s">
        <v>428</v>
      </c>
      <c r="D17">
        <v>1315000</v>
      </c>
      <c r="E17">
        <v>99000</v>
      </c>
      <c r="F17">
        <v>86000</v>
      </c>
      <c r="G17" t="s">
        <v>376</v>
      </c>
      <c r="H17">
        <v>1414000</v>
      </c>
    </row>
    <row r="18" spans="1:8" x14ac:dyDescent="0.25">
      <c r="A18" t="s">
        <v>293</v>
      </c>
      <c r="B18" t="s">
        <v>453</v>
      </c>
      <c r="C18" t="s">
        <v>454</v>
      </c>
      <c r="D18">
        <v>2431000</v>
      </c>
      <c r="E18">
        <v>127000</v>
      </c>
      <c r="F18">
        <v>148000</v>
      </c>
      <c r="G18" t="s">
        <v>296</v>
      </c>
      <c r="H18">
        <v>2558000</v>
      </c>
    </row>
    <row r="19" spans="1:8" x14ac:dyDescent="0.25">
      <c r="A19" t="s">
        <v>293</v>
      </c>
      <c r="B19" t="s">
        <v>479</v>
      </c>
      <c r="C19" t="s">
        <v>480</v>
      </c>
      <c r="D19">
        <v>337000</v>
      </c>
      <c r="E19">
        <v>16000</v>
      </c>
      <c r="F19">
        <v>26000</v>
      </c>
      <c r="G19" t="s">
        <v>376</v>
      </c>
      <c r="H19">
        <v>353000</v>
      </c>
    </row>
    <row r="20" spans="1:8" x14ac:dyDescent="0.25">
      <c r="A20" t="s">
        <v>293</v>
      </c>
      <c r="B20" t="s">
        <v>505</v>
      </c>
      <c r="C20" t="s">
        <v>506</v>
      </c>
      <c r="D20">
        <v>7492000</v>
      </c>
      <c r="E20">
        <v>436000</v>
      </c>
      <c r="F20">
        <v>772000</v>
      </c>
      <c r="G20" t="s">
        <v>323</v>
      </c>
      <c r="H20">
        <v>7928000</v>
      </c>
    </row>
    <row r="21" spans="1:8" x14ac:dyDescent="0.25">
      <c r="A21" t="s">
        <v>531</v>
      </c>
      <c r="B21" t="s">
        <v>532</v>
      </c>
      <c r="C21" t="s">
        <v>533</v>
      </c>
      <c r="D21">
        <v>2359000</v>
      </c>
      <c r="E21">
        <v>106000</v>
      </c>
      <c r="F21">
        <v>244000</v>
      </c>
      <c r="G21" t="s">
        <v>640</v>
      </c>
      <c r="H21">
        <v>2465000</v>
      </c>
    </row>
    <row r="22" spans="1:8" x14ac:dyDescent="0.25">
      <c r="A22" t="s">
        <v>531</v>
      </c>
      <c r="B22" t="s">
        <v>559</v>
      </c>
      <c r="C22" t="s">
        <v>560</v>
      </c>
      <c r="D22">
        <v>2398000</v>
      </c>
      <c r="E22">
        <v>-50000</v>
      </c>
      <c r="F22">
        <v>266000</v>
      </c>
      <c r="G22" t="s">
        <v>534</v>
      </c>
      <c r="H22">
        <v>2348000</v>
      </c>
    </row>
    <row r="23" spans="1:8" x14ac:dyDescent="0.25">
      <c r="A23" t="s">
        <v>531</v>
      </c>
      <c r="B23" t="s">
        <v>585</v>
      </c>
      <c r="C23" t="s">
        <v>586</v>
      </c>
      <c r="D23">
        <v>6065000</v>
      </c>
      <c r="E23">
        <v>59000</v>
      </c>
      <c r="F23">
        <v>527000</v>
      </c>
      <c r="G23" t="s">
        <v>640</v>
      </c>
      <c r="H23">
        <v>6124000</v>
      </c>
    </row>
    <row r="24" spans="1:8" x14ac:dyDescent="0.25">
      <c r="A24" t="s">
        <v>531</v>
      </c>
      <c r="B24" t="s">
        <v>612</v>
      </c>
      <c r="C24" t="s">
        <v>613</v>
      </c>
      <c r="D24">
        <v>2821000</v>
      </c>
      <c r="E24">
        <v>173000</v>
      </c>
      <c r="F24">
        <v>163000</v>
      </c>
      <c r="G24" t="s">
        <v>640</v>
      </c>
      <c r="H24">
        <v>2994000</v>
      </c>
    </row>
    <row r="25" spans="1:8" x14ac:dyDescent="0.25">
      <c r="A25" t="s">
        <v>531</v>
      </c>
      <c r="B25" t="s">
        <v>638</v>
      </c>
      <c r="C25" t="s">
        <v>639</v>
      </c>
      <c r="D25">
        <v>2569000</v>
      </c>
      <c r="E25">
        <v>75000</v>
      </c>
      <c r="F25">
        <v>165000</v>
      </c>
      <c r="G25" t="s">
        <v>587</v>
      </c>
      <c r="H25">
        <v>2644000</v>
      </c>
    </row>
    <row r="26" spans="1:8" x14ac:dyDescent="0.25">
      <c r="A26" t="s">
        <v>531</v>
      </c>
      <c r="B26" t="s">
        <v>665</v>
      </c>
      <c r="C26" t="s">
        <v>666</v>
      </c>
      <c r="D26">
        <v>2184000</v>
      </c>
      <c r="E26">
        <v>59000</v>
      </c>
      <c r="F26">
        <v>159000</v>
      </c>
      <c r="G26" t="s">
        <v>587</v>
      </c>
      <c r="H26">
        <v>2243000</v>
      </c>
    </row>
    <row r="27" spans="1:8" x14ac:dyDescent="0.25">
      <c r="A27" t="s">
        <v>531</v>
      </c>
      <c r="B27" t="s">
        <v>691</v>
      </c>
      <c r="C27" t="s">
        <v>692</v>
      </c>
      <c r="D27">
        <v>3275000</v>
      </c>
      <c r="E27">
        <v>160000</v>
      </c>
      <c r="F27">
        <v>320000</v>
      </c>
      <c r="G27" t="s">
        <v>534</v>
      </c>
      <c r="H27">
        <v>3435000</v>
      </c>
    </row>
    <row r="28" spans="1:8" x14ac:dyDescent="0.25">
      <c r="A28" t="s">
        <v>531</v>
      </c>
      <c r="B28" t="s">
        <v>717</v>
      </c>
      <c r="C28" t="s">
        <v>718</v>
      </c>
      <c r="D28">
        <v>6727000</v>
      </c>
      <c r="E28">
        <v>176000</v>
      </c>
      <c r="F28">
        <v>379000</v>
      </c>
      <c r="G28" t="s">
        <v>587</v>
      </c>
      <c r="H28">
        <v>6903000</v>
      </c>
    </row>
    <row r="29" spans="1:8" x14ac:dyDescent="0.25">
      <c r="A29" t="s">
        <v>531</v>
      </c>
      <c r="B29" t="s">
        <v>743</v>
      </c>
      <c r="C29" t="s">
        <v>744</v>
      </c>
      <c r="D29">
        <v>10752000</v>
      </c>
      <c r="E29">
        <v>284000</v>
      </c>
      <c r="F29">
        <v>879000</v>
      </c>
      <c r="G29" t="s">
        <v>534</v>
      </c>
      <c r="H29">
        <v>11036000</v>
      </c>
    </row>
    <row r="30" spans="1:8" x14ac:dyDescent="0.25">
      <c r="A30" t="s">
        <v>531</v>
      </c>
      <c r="B30" t="s">
        <v>769</v>
      </c>
      <c r="C30" t="s">
        <v>770</v>
      </c>
      <c r="D30">
        <v>2650000</v>
      </c>
      <c r="E30">
        <v>83000</v>
      </c>
      <c r="F30">
        <v>237000</v>
      </c>
      <c r="G30" t="s">
        <v>640</v>
      </c>
      <c r="H30">
        <v>2733000</v>
      </c>
    </row>
    <row r="31" spans="1:8" x14ac:dyDescent="0.25">
      <c r="A31" t="s">
        <v>794</v>
      </c>
      <c r="B31" t="s">
        <v>795</v>
      </c>
      <c r="C31" t="s">
        <v>796</v>
      </c>
      <c r="D31">
        <v>2108000</v>
      </c>
      <c r="E31">
        <v>104000</v>
      </c>
      <c r="F31">
        <v>224000</v>
      </c>
      <c r="G31" t="s">
        <v>797</v>
      </c>
      <c r="H31">
        <v>2212000</v>
      </c>
    </row>
    <row r="32" spans="1:8" x14ac:dyDescent="0.25">
      <c r="A32" t="s">
        <v>794</v>
      </c>
      <c r="B32" t="s">
        <v>822</v>
      </c>
      <c r="C32" t="s">
        <v>823</v>
      </c>
      <c r="D32">
        <v>1471000</v>
      </c>
      <c r="E32">
        <v>-44000</v>
      </c>
      <c r="F32">
        <v>100000</v>
      </c>
      <c r="G32" t="s">
        <v>824</v>
      </c>
      <c r="H32">
        <v>1427000</v>
      </c>
    </row>
    <row r="33" spans="1:8" x14ac:dyDescent="0.25">
      <c r="A33" t="s">
        <v>794</v>
      </c>
      <c r="B33" t="s">
        <v>849</v>
      </c>
      <c r="C33" t="s">
        <v>850</v>
      </c>
      <c r="D33">
        <v>5905000</v>
      </c>
      <c r="E33">
        <v>-148000</v>
      </c>
      <c r="F33">
        <v>534000</v>
      </c>
      <c r="G33" t="s">
        <v>797</v>
      </c>
      <c r="H33">
        <v>5757000</v>
      </c>
    </row>
    <row r="34" spans="1:8" x14ac:dyDescent="0.25">
      <c r="A34" t="s">
        <v>794</v>
      </c>
      <c r="B34" t="s">
        <v>876</v>
      </c>
      <c r="C34" t="s">
        <v>877</v>
      </c>
      <c r="D34">
        <v>5321000</v>
      </c>
      <c r="E34">
        <v>157000</v>
      </c>
      <c r="F34">
        <v>527000</v>
      </c>
      <c r="G34" t="s">
        <v>824</v>
      </c>
      <c r="H34">
        <v>5478000</v>
      </c>
    </row>
    <row r="35" spans="1:8" x14ac:dyDescent="0.25">
      <c r="A35" t="s">
        <v>794</v>
      </c>
      <c r="B35" t="s">
        <v>902</v>
      </c>
      <c r="C35" t="s">
        <v>903</v>
      </c>
      <c r="D35">
        <v>613000</v>
      </c>
      <c r="E35">
        <v>-14000</v>
      </c>
      <c r="F35">
        <v>71000</v>
      </c>
      <c r="G35" t="s">
        <v>797</v>
      </c>
      <c r="H35">
        <v>599000</v>
      </c>
    </row>
    <row r="36" spans="1:8" x14ac:dyDescent="0.25">
      <c r="A36" t="s">
        <v>794</v>
      </c>
      <c r="B36" t="s">
        <v>928</v>
      </c>
      <c r="C36" t="s">
        <v>929</v>
      </c>
      <c r="D36">
        <v>2159000</v>
      </c>
      <c r="E36">
        <v>32000</v>
      </c>
      <c r="F36">
        <v>113000</v>
      </c>
      <c r="G36" t="s">
        <v>824</v>
      </c>
      <c r="H36">
        <v>2191000</v>
      </c>
    </row>
    <row r="37" spans="1:8" x14ac:dyDescent="0.25">
      <c r="A37" t="s">
        <v>794</v>
      </c>
      <c r="B37" t="s">
        <v>953</v>
      </c>
      <c r="C37" t="s">
        <v>954</v>
      </c>
      <c r="D37">
        <v>2329000</v>
      </c>
      <c r="E37">
        <v>181000</v>
      </c>
      <c r="F37">
        <v>241000</v>
      </c>
      <c r="G37" t="s">
        <v>851</v>
      </c>
      <c r="H37">
        <v>2510000</v>
      </c>
    </row>
    <row r="38" spans="1:8" x14ac:dyDescent="0.25">
      <c r="A38" t="s">
        <v>794</v>
      </c>
      <c r="B38" t="s">
        <v>979</v>
      </c>
      <c r="C38" t="s">
        <v>980</v>
      </c>
      <c r="D38">
        <v>1449000</v>
      </c>
      <c r="E38">
        <v>16000</v>
      </c>
      <c r="F38">
        <v>170000</v>
      </c>
      <c r="G38" t="s">
        <v>797</v>
      </c>
      <c r="H38">
        <v>1465000</v>
      </c>
    </row>
    <row r="39" spans="1:8" x14ac:dyDescent="0.25">
      <c r="A39" t="s">
        <v>794</v>
      </c>
      <c r="B39" t="s">
        <v>1005</v>
      </c>
      <c r="C39" t="s">
        <v>1006</v>
      </c>
      <c r="D39">
        <v>1245000</v>
      </c>
      <c r="E39">
        <v>88000</v>
      </c>
      <c r="F39">
        <v>101000</v>
      </c>
      <c r="G39" t="s">
        <v>797</v>
      </c>
      <c r="H39">
        <v>1333000</v>
      </c>
    </row>
    <row r="40" spans="1:8" x14ac:dyDescent="0.25">
      <c r="A40" t="s">
        <v>1031</v>
      </c>
      <c r="B40" t="s">
        <v>1032</v>
      </c>
      <c r="C40" t="s">
        <v>1033</v>
      </c>
      <c r="D40">
        <v>1060000</v>
      </c>
      <c r="E40">
        <v>48000</v>
      </c>
      <c r="F40">
        <v>81000</v>
      </c>
      <c r="G40" t="s">
        <v>1084</v>
      </c>
      <c r="H40">
        <v>1108000</v>
      </c>
    </row>
    <row r="41" spans="1:8" x14ac:dyDescent="0.25">
      <c r="A41" t="s">
        <v>1031</v>
      </c>
      <c r="B41" t="s">
        <v>1057</v>
      </c>
      <c r="C41" t="s">
        <v>1058</v>
      </c>
      <c r="D41">
        <v>1385000</v>
      </c>
      <c r="E41">
        <v>-21000</v>
      </c>
      <c r="F41">
        <v>154000</v>
      </c>
      <c r="G41" t="s">
        <v>1059</v>
      </c>
      <c r="H41">
        <v>1364000</v>
      </c>
    </row>
    <row r="42" spans="1:8" x14ac:dyDescent="0.25">
      <c r="A42" t="s">
        <v>1031</v>
      </c>
      <c r="B42" t="s">
        <v>1082</v>
      </c>
      <c r="C42" t="s">
        <v>1083</v>
      </c>
      <c r="D42">
        <v>3557000</v>
      </c>
      <c r="E42">
        <v>282000</v>
      </c>
      <c r="F42">
        <v>207000</v>
      </c>
      <c r="G42" t="s">
        <v>1059</v>
      </c>
      <c r="H42">
        <v>3839000</v>
      </c>
    </row>
    <row r="43" spans="1:8" x14ac:dyDescent="0.25">
      <c r="A43" t="s">
        <v>1031</v>
      </c>
      <c r="B43" t="s">
        <v>1107</v>
      </c>
      <c r="C43" t="s">
        <v>1108</v>
      </c>
      <c r="D43">
        <v>2912000</v>
      </c>
      <c r="E43">
        <v>146000</v>
      </c>
      <c r="F43">
        <v>253000</v>
      </c>
      <c r="G43" t="s">
        <v>1034</v>
      </c>
      <c r="H43">
        <v>3058000</v>
      </c>
    </row>
    <row r="44" spans="1:8" x14ac:dyDescent="0.25">
      <c r="A44" t="s">
        <v>1031</v>
      </c>
      <c r="B44" t="s">
        <v>1131</v>
      </c>
      <c r="C44" t="s">
        <v>1132</v>
      </c>
      <c r="D44">
        <v>2043000</v>
      </c>
      <c r="E44">
        <v>109000</v>
      </c>
      <c r="F44">
        <v>222000</v>
      </c>
      <c r="G44" t="s">
        <v>1059</v>
      </c>
      <c r="H44">
        <v>2152000</v>
      </c>
    </row>
    <row r="45" spans="1:8" x14ac:dyDescent="0.25">
      <c r="A45" t="s">
        <v>1031</v>
      </c>
      <c r="B45" t="s">
        <v>1155</v>
      </c>
      <c r="C45" t="s">
        <v>1156</v>
      </c>
      <c r="D45">
        <v>1173000</v>
      </c>
      <c r="E45">
        <v>58000</v>
      </c>
      <c r="F45">
        <v>97000</v>
      </c>
      <c r="G45" t="s">
        <v>1059</v>
      </c>
      <c r="H45">
        <v>1231000</v>
      </c>
    </row>
    <row r="46" spans="1:8" x14ac:dyDescent="0.25">
      <c r="A46" t="s">
        <v>1031</v>
      </c>
      <c r="B46" t="s">
        <v>1179</v>
      </c>
      <c r="C46" t="s">
        <v>1180</v>
      </c>
      <c r="D46">
        <v>1401000</v>
      </c>
      <c r="E46">
        <v>85000</v>
      </c>
      <c r="F46">
        <v>122000</v>
      </c>
      <c r="G46" t="s">
        <v>1034</v>
      </c>
      <c r="H46">
        <v>1486000</v>
      </c>
    </row>
    <row r="47" spans="1:8" x14ac:dyDescent="0.25">
      <c r="A47" t="s">
        <v>1031</v>
      </c>
      <c r="B47" t="s">
        <v>1203</v>
      </c>
      <c r="C47" t="s">
        <v>1204</v>
      </c>
      <c r="D47">
        <v>7782000</v>
      </c>
      <c r="E47">
        <v>-101000</v>
      </c>
      <c r="F47">
        <v>640000</v>
      </c>
      <c r="G47" t="s">
        <v>1034</v>
      </c>
      <c r="H47">
        <v>7681000</v>
      </c>
    </row>
    <row r="48" spans="1:8" x14ac:dyDescent="0.25">
      <c r="A48" t="s">
        <v>1031</v>
      </c>
      <c r="B48" t="s">
        <v>1227</v>
      </c>
      <c r="C48" t="s">
        <v>1228</v>
      </c>
      <c r="D48">
        <v>6227000</v>
      </c>
      <c r="E48">
        <v>310000</v>
      </c>
      <c r="F48">
        <v>720000</v>
      </c>
      <c r="G48" t="s">
        <v>1034</v>
      </c>
      <c r="H48">
        <v>6537000</v>
      </c>
    </row>
    <row r="49" spans="1:8" x14ac:dyDescent="0.25">
      <c r="A49" t="s">
        <v>1031</v>
      </c>
      <c r="B49" t="s">
        <v>1251</v>
      </c>
      <c r="C49" t="s">
        <v>1252</v>
      </c>
      <c r="D49">
        <v>1361000</v>
      </c>
      <c r="E49">
        <v>58000</v>
      </c>
      <c r="F49">
        <v>71000</v>
      </c>
      <c r="G49" t="s">
        <v>1084</v>
      </c>
      <c r="H49">
        <v>1419000</v>
      </c>
    </row>
    <row r="50" spans="1:8" x14ac:dyDescent="0.25">
      <c r="A50" t="s">
        <v>1275</v>
      </c>
      <c r="B50" t="s">
        <v>1276</v>
      </c>
      <c r="C50" t="s">
        <v>1277</v>
      </c>
      <c r="D50">
        <v>587000</v>
      </c>
      <c r="E50">
        <v>39000</v>
      </c>
      <c r="F50">
        <v>61000</v>
      </c>
      <c r="G50" t="s">
        <v>1278</v>
      </c>
      <c r="H50">
        <v>626000</v>
      </c>
    </row>
    <row r="51" spans="1:8" x14ac:dyDescent="0.25">
      <c r="A51" t="s">
        <v>1275</v>
      </c>
      <c r="B51" t="s">
        <v>1303</v>
      </c>
      <c r="C51" t="s">
        <v>1304</v>
      </c>
      <c r="D51">
        <v>988000</v>
      </c>
      <c r="E51">
        <v>-22000</v>
      </c>
      <c r="F51">
        <v>66000</v>
      </c>
      <c r="G51" t="s">
        <v>1331</v>
      </c>
      <c r="H51">
        <v>966000</v>
      </c>
    </row>
    <row r="52" spans="1:8" x14ac:dyDescent="0.25">
      <c r="A52" t="s">
        <v>1275</v>
      </c>
      <c r="B52" t="s">
        <v>1329</v>
      </c>
      <c r="C52" t="s">
        <v>1330</v>
      </c>
      <c r="D52">
        <v>1126000</v>
      </c>
      <c r="E52">
        <v>40000</v>
      </c>
      <c r="F52">
        <v>59000</v>
      </c>
      <c r="G52" t="s">
        <v>1331</v>
      </c>
      <c r="H52">
        <v>1166000</v>
      </c>
    </row>
    <row r="53" spans="1:8" x14ac:dyDescent="0.25">
      <c r="A53" t="s">
        <v>1275</v>
      </c>
      <c r="B53" t="s">
        <v>1356</v>
      </c>
      <c r="C53" t="s">
        <v>1357</v>
      </c>
      <c r="D53">
        <v>507000</v>
      </c>
      <c r="E53">
        <v>-2000</v>
      </c>
      <c r="F53">
        <v>56000</v>
      </c>
      <c r="G53" t="s">
        <v>1278</v>
      </c>
      <c r="H53">
        <v>505000</v>
      </c>
    </row>
    <row r="54" spans="1:8" x14ac:dyDescent="0.25">
      <c r="A54" t="s">
        <v>1275</v>
      </c>
      <c r="B54" t="s">
        <v>1383</v>
      </c>
      <c r="C54" t="s">
        <v>1384</v>
      </c>
      <c r="D54">
        <v>1762000</v>
      </c>
      <c r="E54">
        <v>-7000</v>
      </c>
      <c r="F54">
        <v>138000</v>
      </c>
      <c r="G54" t="s">
        <v>1278</v>
      </c>
      <c r="H54">
        <v>1755000</v>
      </c>
    </row>
    <row r="55" spans="1:8" x14ac:dyDescent="0.25">
      <c r="A55" t="s">
        <v>1275</v>
      </c>
      <c r="B55" t="s">
        <v>1409</v>
      </c>
      <c r="C55" t="s">
        <v>1410</v>
      </c>
      <c r="D55">
        <v>1282000</v>
      </c>
      <c r="E55">
        <v>71000</v>
      </c>
      <c r="F55">
        <v>132000</v>
      </c>
      <c r="G55" t="s">
        <v>1278</v>
      </c>
      <c r="H55">
        <v>1353000</v>
      </c>
    </row>
    <row r="56" spans="1:8" x14ac:dyDescent="0.25">
      <c r="A56" t="s">
        <v>1275</v>
      </c>
      <c r="B56" t="s">
        <v>1435</v>
      </c>
      <c r="C56" t="s">
        <v>1436</v>
      </c>
      <c r="D56">
        <v>1033000</v>
      </c>
      <c r="E56">
        <v>2000</v>
      </c>
      <c r="F56">
        <v>88000</v>
      </c>
      <c r="G56" t="s">
        <v>1331</v>
      </c>
      <c r="H56">
        <v>1035000</v>
      </c>
    </row>
    <row r="57" spans="1:8" x14ac:dyDescent="0.25">
      <c r="A57" t="s">
        <v>1275</v>
      </c>
      <c r="B57" t="s">
        <v>1461</v>
      </c>
      <c r="C57" t="s">
        <v>1462</v>
      </c>
      <c r="D57">
        <v>869000</v>
      </c>
      <c r="E57">
        <v>29000</v>
      </c>
      <c r="F57">
        <v>78000</v>
      </c>
      <c r="G57" t="s">
        <v>1331</v>
      </c>
      <c r="H57">
        <v>898000</v>
      </c>
    </row>
    <row r="58" spans="1:8" x14ac:dyDescent="0.25">
      <c r="A58" t="s">
        <v>1275</v>
      </c>
      <c r="B58" t="s">
        <v>1487</v>
      </c>
      <c r="C58" t="s">
        <v>1488</v>
      </c>
      <c r="D58">
        <v>2469000</v>
      </c>
      <c r="E58">
        <v>-10000</v>
      </c>
      <c r="F58">
        <v>265000</v>
      </c>
      <c r="G58" t="s">
        <v>1278</v>
      </c>
      <c r="H58">
        <v>2459000</v>
      </c>
    </row>
    <row r="59" spans="1:8" x14ac:dyDescent="0.25">
      <c r="A59" t="s">
        <v>1275</v>
      </c>
      <c r="B59" t="s">
        <v>1513</v>
      </c>
      <c r="C59" t="s">
        <v>1514</v>
      </c>
      <c r="D59">
        <v>776000</v>
      </c>
      <c r="E59">
        <v>21000</v>
      </c>
      <c r="F59">
        <v>92000</v>
      </c>
      <c r="G59" t="s">
        <v>1358</v>
      </c>
      <c r="H59">
        <v>797000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95F1-7DF3-4222-9BB3-E5B1C1B80B09}">
  <sheetPr>
    <tabColor theme="6" tint="0.79998168889431442"/>
  </sheetPr>
  <dimension ref="A1:H73"/>
  <sheetViews>
    <sheetView workbookViewId="0">
      <selection activeCell="H7" sqref="H7"/>
    </sheetView>
  </sheetViews>
  <sheetFormatPr defaultRowHeight="15" x14ac:dyDescent="0.25"/>
  <cols>
    <col min="2" max="2" width="11.85546875" customWidth="1"/>
    <col min="4" max="4" width="18.28515625" customWidth="1"/>
    <col min="5" max="5" width="21.28515625" customWidth="1"/>
    <col min="6" max="6" width="18.140625" customWidth="1"/>
    <col min="7" max="7" width="19.7109375" customWidth="1"/>
    <col min="8" max="8" width="16.140625" customWidth="1"/>
  </cols>
  <sheetData>
    <row r="1" spans="1:8" x14ac:dyDescent="0.25">
      <c r="A1" t="s">
        <v>1</v>
      </c>
      <c r="B1" t="s">
        <v>1541</v>
      </c>
      <c r="C1" t="s">
        <v>2</v>
      </c>
      <c r="D1" t="s">
        <v>1542</v>
      </c>
      <c r="E1" t="s">
        <v>1543</v>
      </c>
      <c r="F1" t="s">
        <v>1544</v>
      </c>
      <c r="G1" t="s">
        <v>1545</v>
      </c>
      <c r="H1" t="s">
        <v>1546</v>
      </c>
    </row>
    <row r="2" spans="1:8" x14ac:dyDescent="0.25">
      <c r="A2" t="s">
        <v>12</v>
      </c>
      <c r="B2">
        <v>1</v>
      </c>
      <c r="C2" t="s">
        <v>13</v>
      </c>
      <c r="D2">
        <v>18500000</v>
      </c>
      <c r="E2">
        <v>740000</v>
      </c>
      <c r="F2">
        <v>740000</v>
      </c>
      <c r="G2">
        <v>832500</v>
      </c>
      <c r="H2" t="s">
        <v>1547</v>
      </c>
    </row>
    <row r="3" spans="1:8" x14ac:dyDescent="0.25">
      <c r="A3" t="s">
        <v>21</v>
      </c>
      <c r="B3">
        <v>2</v>
      </c>
      <c r="C3" t="s">
        <v>13</v>
      </c>
      <c r="D3">
        <v>18500000</v>
      </c>
      <c r="E3">
        <v>1665000</v>
      </c>
      <c r="F3">
        <v>925000</v>
      </c>
      <c r="G3">
        <v>1813000</v>
      </c>
      <c r="H3" t="s">
        <v>1547</v>
      </c>
    </row>
    <row r="4" spans="1:8" x14ac:dyDescent="0.25">
      <c r="A4" t="s">
        <v>25</v>
      </c>
      <c r="B4">
        <v>3</v>
      </c>
      <c r="C4" t="s">
        <v>13</v>
      </c>
      <c r="D4">
        <v>18500000</v>
      </c>
      <c r="E4">
        <v>2775000</v>
      </c>
      <c r="F4">
        <v>1110000</v>
      </c>
      <c r="G4">
        <v>2997000</v>
      </c>
      <c r="H4" t="s">
        <v>1547</v>
      </c>
    </row>
    <row r="5" spans="1:8" x14ac:dyDescent="0.25">
      <c r="A5" t="s">
        <v>29</v>
      </c>
      <c r="B5">
        <v>4</v>
      </c>
      <c r="C5" t="s">
        <v>13</v>
      </c>
      <c r="D5">
        <v>18500000</v>
      </c>
      <c r="E5">
        <v>4255000</v>
      </c>
      <c r="F5">
        <v>1480000</v>
      </c>
      <c r="G5">
        <v>4643500</v>
      </c>
      <c r="H5" t="s">
        <v>1547</v>
      </c>
    </row>
    <row r="6" spans="1:8" x14ac:dyDescent="0.25">
      <c r="A6" t="s">
        <v>32</v>
      </c>
      <c r="B6">
        <v>5</v>
      </c>
      <c r="C6" t="s">
        <v>13</v>
      </c>
      <c r="D6">
        <v>18500000</v>
      </c>
      <c r="E6">
        <v>6290000</v>
      </c>
      <c r="F6">
        <v>2035000</v>
      </c>
      <c r="G6">
        <v>6882000</v>
      </c>
      <c r="H6" t="s">
        <v>1547</v>
      </c>
    </row>
    <row r="7" spans="1:8" x14ac:dyDescent="0.25">
      <c r="A7" t="s">
        <v>35</v>
      </c>
      <c r="B7">
        <v>6</v>
      </c>
      <c r="C7" t="s">
        <v>13</v>
      </c>
      <c r="D7">
        <v>18500000</v>
      </c>
      <c r="E7">
        <v>8695000</v>
      </c>
      <c r="F7">
        <v>2405000</v>
      </c>
      <c r="G7">
        <v>9490500</v>
      </c>
      <c r="H7" t="s">
        <v>1547</v>
      </c>
    </row>
    <row r="8" spans="1:8" x14ac:dyDescent="0.25">
      <c r="A8" t="s">
        <v>38</v>
      </c>
      <c r="B8">
        <v>7</v>
      </c>
      <c r="C8" t="s">
        <v>13</v>
      </c>
      <c r="D8">
        <v>18500000</v>
      </c>
      <c r="E8">
        <v>11100000</v>
      </c>
      <c r="F8">
        <v>2405000</v>
      </c>
      <c r="G8">
        <v>11858500</v>
      </c>
      <c r="H8" t="s">
        <v>1547</v>
      </c>
    </row>
    <row r="9" spans="1:8" x14ac:dyDescent="0.25">
      <c r="A9" t="s">
        <v>42</v>
      </c>
      <c r="B9">
        <v>8</v>
      </c>
      <c r="C9" t="s">
        <v>13</v>
      </c>
      <c r="D9">
        <v>18500000</v>
      </c>
      <c r="E9">
        <v>13320000</v>
      </c>
      <c r="F9">
        <v>2220000</v>
      </c>
      <c r="G9">
        <v>14060000</v>
      </c>
      <c r="H9" t="s">
        <v>1547</v>
      </c>
    </row>
    <row r="10" spans="1:8" x14ac:dyDescent="0.25">
      <c r="A10" t="s">
        <v>45</v>
      </c>
      <c r="B10">
        <v>9</v>
      </c>
      <c r="C10" t="s">
        <v>13</v>
      </c>
      <c r="D10">
        <v>18500000</v>
      </c>
      <c r="E10">
        <v>15170000</v>
      </c>
      <c r="F10">
        <v>1850000</v>
      </c>
      <c r="G10">
        <v>15891500</v>
      </c>
      <c r="H10" t="s">
        <v>1547</v>
      </c>
    </row>
    <row r="11" spans="1:8" x14ac:dyDescent="0.25">
      <c r="A11" t="s">
        <v>48</v>
      </c>
      <c r="B11">
        <v>10</v>
      </c>
      <c r="C11" t="s">
        <v>13</v>
      </c>
      <c r="D11">
        <v>18500000</v>
      </c>
      <c r="E11">
        <v>16650000</v>
      </c>
      <c r="F11">
        <v>1480000</v>
      </c>
      <c r="H11" t="s">
        <v>1548</v>
      </c>
    </row>
    <row r="12" spans="1:8" x14ac:dyDescent="0.25">
      <c r="A12" t="s">
        <v>52</v>
      </c>
      <c r="B12">
        <v>11</v>
      </c>
      <c r="C12" t="s">
        <v>13</v>
      </c>
      <c r="D12">
        <v>18500000</v>
      </c>
      <c r="E12">
        <v>17760000</v>
      </c>
      <c r="F12">
        <v>1110000</v>
      </c>
      <c r="H12" t="s">
        <v>1548</v>
      </c>
    </row>
    <row r="13" spans="1:8" x14ac:dyDescent="0.25">
      <c r="A13" t="s">
        <v>55</v>
      </c>
      <c r="B13">
        <v>12</v>
      </c>
      <c r="C13" t="s">
        <v>13</v>
      </c>
      <c r="D13">
        <v>18500000</v>
      </c>
      <c r="E13">
        <v>18500000</v>
      </c>
      <c r="F13">
        <v>740000</v>
      </c>
      <c r="H13" t="s">
        <v>1548</v>
      </c>
    </row>
    <row r="14" spans="1:8" x14ac:dyDescent="0.25">
      <c r="A14" t="s">
        <v>12</v>
      </c>
      <c r="B14">
        <v>1</v>
      </c>
      <c r="C14" t="s">
        <v>293</v>
      </c>
      <c r="D14">
        <v>32200000</v>
      </c>
      <c r="E14">
        <v>644000</v>
      </c>
      <c r="F14">
        <v>644000</v>
      </c>
      <c r="G14">
        <v>676200</v>
      </c>
      <c r="H14" t="s">
        <v>1547</v>
      </c>
    </row>
    <row r="15" spans="1:8" x14ac:dyDescent="0.25">
      <c r="A15" t="s">
        <v>21</v>
      </c>
      <c r="B15">
        <v>2</v>
      </c>
      <c r="C15" t="s">
        <v>293</v>
      </c>
      <c r="D15">
        <v>32200000</v>
      </c>
      <c r="E15">
        <v>1610000</v>
      </c>
      <c r="F15">
        <v>966000</v>
      </c>
      <c r="G15">
        <v>1738800</v>
      </c>
      <c r="H15" t="s">
        <v>1547</v>
      </c>
    </row>
    <row r="16" spans="1:8" x14ac:dyDescent="0.25">
      <c r="A16" t="s">
        <v>25</v>
      </c>
      <c r="B16">
        <v>3</v>
      </c>
      <c r="C16" t="s">
        <v>293</v>
      </c>
      <c r="D16">
        <v>32200000</v>
      </c>
      <c r="E16">
        <v>3220000</v>
      </c>
      <c r="F16">
        <v>1610000</v>
      </c>
      <c r="G16">
        <v>3542000</v>
      </c>
      <c r="H16" t="s">
        <v>1547</v>
      </c>
    </row>
    <row r="17" spans="1:8" x14ac:dyDescent="0.25">
      <c r="A17" t="s">
        <v>29</v>
      </c>
      <c r="B17">
        <v>4</v>
      </c>
      <c r="C17" t="s">
        <v>293</v>
      </c>
      <c r="D17">
        <v>32200000</v>
      </c>
      <c r="E17">
        <v>5796000</v>
      </c>
      <c r="F17">
        <v>2576000</v>
      </c>
      <c r="G17">
        <v>6375600</v>
      </c>
      <c r="H17" t="s">
        <v>1547</v>
      </c>
    </row>
    <row r="18" spans="1:8" x14ac:dyDescent="0.25">
      <c r="A18" t="s">
        <v>32</v>
      </c>
      <c r="B18">
        <v>5</v>
      </c>
      <c r="C18" t="s">
        <v>293</v>
      </c>
      <c r="D18">
        <v>32200000</v>
      </c>
      <c r="E18">
        <v>9338000</v>
      </c>
      <c r="F18">
        <v>3542000</v>
      </c>
      <c r="G18">
        <v>10336200</v>
      </c>
      <c r="H18" t="s">
        <v>1547</v>
      </c>
    </row>
    <row r="19" spans="1:8" x14ac:dyDescent="0.25">
      <c r="A19" t="s">
        <v>35</v>
      </c>
      <c r="B19">
        <v>6</v>
      </c>
      <c r="C19" t="s">
        <v>293</v>
      </c>
      <c r="D19">
        <v>32200000</v>
      </c>
      <c r="E19">
        <v>13846000</v>
      </c>
      <c r="F19">
        <v>4508000</v>
      </c>
      <c r="G19">
        <v>15198400</v>
      </c>
      <c r="H19" t="s">
        <v>1547</v>
      </c>
    </row>
    <row r="20" spans="1:8" x14ac:dyDescent="0.25">
      <c r="A20" t="s">
        <v>38</v>
      </c>
      <c r="B20">
        <v>7</v>
      </c>
      <c r="C20" t="s">
        <v>293</v>
      </c>
      <c r="D20">
        <v>32200000</v>
      </c>
      <c r="E20">
        <v>18676000</v>
      </c>
      <c r="F20">
        <v>4830000</v>
      </c>
      <c r="G20">
        <v>20447000</v>
      </c>
      <c r="H20" t="s">
        <v>1547</v>
      </c>
    </row>
    <row r="21" spans="1:8" x14ac:dyDescent="0.25">
      <c r="A21" t="s">
        <v>42</v>
      </c>
      <c r="B21">
        <v>8</v>
      </c>
      <c r="C21" t="s">
        <v>293</v>
      </c>
      <c r="D21">
        <v>32200000</v>
      </c>
      <c r="E21">
        <v>22540000</v>
      </c>
      <c r="F21">
        <v>3864000</v>
      </c>
      <c r="G21">
        <v>24922800</v>
      </c>
      <c r="H21" t="s">
        <v>1547</v>
      </c>
    </row>
    <row r="22" spans="1:8" x14ac:dyDescent="0.25">
      <c r="A22" t="s">
        <v>45</v>
      </c>
      <c r="B22">
        <v>9</v>
      </c>
      <c r="C22" t="s">
        <v>293</v>
      </c>
      <c r="D22">
        <v>32200000</v>
      </c>
      <c r="E22">
        <v>26082000</v>
      </c>
      <c r="F22">
        <v>3542000</v>
      </c>
      <c r="H22" t="s">
        <v>1548</v>
      </c>
    </row>
    <row r="23" spans="1:8" x14ac:dyDescent="0.25">
      <c r="A23" t="s">
        <v>48</v>
      </c>
      <c r="B23">
        <v>10</v>
      </c>
      <c r="C23" t="s">
        <v>293</v>
      </c>
      <c r="D23">
        <v>32200000</v>
      </c>
      <c r="E23">
        <v>28658000</v>
      </c>
      <c r="F23">
        <v>2576000</v>
      </c>
      <c r="H23" t="s">
        <v>1548</v>
      </c>
    </row>
    <row r="24" spans="1:8" x14ac:dyDescent="0.25">
      <c r="A24" t="s">
        <v>52</v>
      </c>
      <c r="B24">
        <v>11</v>
      </c>
      <c r="C24" t="s">
        <v>293</v>
      </c>
      <c r="D24">
        <v>32200000</v>
      </c>
      <c r="E24">
        <v>30590000</v>
      </c>
      <c r="F24">
        <v>1932000</v>
      </c>
      <c r="H24" t="s">
        <v>1548</v>
      </c>
    </row>
    <row r="25" spans="1:8" x14ac:dyDescent="0.25">
      <c r="A25" t="s">
        <v>55</v>
      </c>
      <c r="B25">
        <v>12</v>
      </c>
      <c r="C25" t="s">
        <v>293</v>
      </c>
      <c r="D25">
        <v>32200000</v>
      </c>
      <c r="E25">
        <v>32200000</v>
      </c>
      <c r="F25">
        <v>1610000</v>
      </c>
      <c r="H25" t="s">
        <v>1548</v>
      </c>
    </row>
    <row r="26" spans="1:8" x14ac:dyDescent="0.25">
      <c r="A26" t="s">
        <v>12</v>
      </c>
      <c r="B26">
        <v>1</v>
      </c>
      <c r="C26" t="s">
        <v>531</v>
      </c>
      <c r="D26">
        <v>41800000</v>
      </c>
      <c r="E26">
        <v>418000</v>
      </c>
      <c r="F26">
        <v>418000</v>
      </c>
      <c r="G26">
        <v>418000</v>
      </c>
      <c r="H26" t="s">
        <v>1547</v>
      </c>
    </row>
    <row r="27" spans="1:8" x14ac:dyDescent="0.25">
      <c r="A27" t="s">
        <v>21</v>
      </c>
      <c r="B27">
        <v>2</v>
      </c>
      <c r="C27" t="s">
        <v>531</v>
      </c>
      <c r="D27">
        <v>41800000</v>
      </c>
      <c r="E27">
        <v>1254000</v>
      </c>
      <c r="F27">
        <v>836000</v>
      </c>
      <c r="G27">
        <v>1337600</v>
      </c>
      <c r="H27" t="s">
        <v>1547</v>
      </c>
    </row>
    <row r="28" spans="1:8" x14ac:dyDescent="0.25">
      <c r="A28" t="s">
        <v>25</v>
      </c>
      <c r="B28">
        <v>3</v>
      </c>
      <c r="C28" t="s">
        <v>531</v>
      </c>
      <c r="D28">
        <v>41800000</v>
      </c>
      <c r="E28">
        <v>2926000</v>
      </c>
      <c r="F28">
        <v>1672000</v>
      </c>
      <c r="G28">
        <v>3260400</v>
      </c>
      <c r="H28" t="s">
        <v>1547</v>
      </c>
    </row>
    <row r="29" spans="1:8" x14ac:dyDescent="0.25">
      <c r="A29" t="s">
        <v>29</v>
      </c>
      <c r="B29">
        <v>4</v>
      </c>
      <c r="C29" t="s">
        <v>531</v>
      </c>
      <c r="D29">
        <v>41800000</v>
      </c>
      <c r="E29">
        <v>5434000</v>
      </c>
      <c r="F29">
        <v>2508000</v>
      </c>
      <c r="G29">
        <v>6061000</v>
      </c>
      <c r="H29" t="s">
        <v>1547</v>
      </c>
    </row>
    <row r="30" spans="1:8" x14ac:dyDescent="0.25">
      <c r="A30" t="s">
        <v>32</v>
      </c>
      <c r="B30">
        <v>5</v>
      </c>
      <c r="C30" t="s">
        <v>531</v>
      </c>
      <c r="D30">
        <v>41800000</v>
      </c>
      <c r="E30">
        <v>9196000</v>
      </c>
      <c r="F30">
        <v>3762000</v>
      </c>
      <c r="G30">
        <v>10366400</v>
      </c>
      <c r="H30" t="s">
        <v>1547</v>
      </c>
    </row>
    <row r="31" spans="1:8" x14ac:dyDescent="0.25">
      <c r="A31" t="s">
        <v>35</v>
      </c>
      <c r="B31">
        <v>6</v>
      </c>
      <c r="C31" t="s">
        <v>531</v>
      </c>
      <c r="D31">
        <v>41800000</v>
      </c>
      <c r="E31">
        <v>14212000</v>
      </c>
      <c r="F31">
        <v>5016000</v>
      </c>
      <c r="G31">
        <v>15967600</v>
      </c>
      <c r="H31" t="s">
        <v>1547</v>
      </c>
    </row>
    <row r="32" spans="1:8" x14ac:dyDescent="0.25">
      <c r="A32" t="s">
        <v>38</v>
      </c>
      <c r="B32">
        <v>7</v>
      </c>
      <c r="C32" t="s">
        <v>531</v>
      </c>
      <c r="D32">
        <v>41800000</v>
      </c>
      <c r="E32">
        <v>20064000</v>
      </c>
      <c r="F32">
        <v>5852000</v>
      </c>
      <c r="G32">
        <v>22572000</v>
      </c>
      <c r="H32" t="s">
        <v>1547</v>
      </c>
    </row>
    <row r="33" spans="1:8" x14ac:dyDescent="0.25">
      <c r="A33" t="s">
        <v>42</v>
      </c>
      <c r="B33">
        <v>8</v>
      </c>
      <c r="C33" t="s">
        <v>531</v>
      </c>
      <c r="D33">
        <v>41800000</v>
      </c>
      <c r="E33">
        <v>25916000</v>
      </c>
      <c r="F33">
        <v>5852000</v>
      </c>
      <c r="H33" t="s">
        <v>1548</v>
      </c>
    </row>
    <row r="34" spans="1:8" x14ac:dyDescent="0.25">
      <c r="A34" t="s">
        <v>45</v>
      </c>
      <c r="B34">
        <v>9</v>
      </c>
      <c r="C34" t="s">
        <v>531</v>
      </c>
      <c r="D34">
        <v>41800000</v>
      </c>
      <c r="E34">
        <v>31350000</v>
      </c>
      <c r="F34">
        <v>5434000</v>
      </c>
      <c r="H34" t="s">
        <v>1548</v>
      </c>
    </row>
    <row r="35" spans="1:8" x14ac:dyDescent="0.25">
      <c r="A35" t="s">
        <v>48</v>
      </c>
      <c r="B35">
        <v>10</v>
      </c>
      <c r="C35" t="s">
        <v>531</v>
      </c>
      <c r="D35">
        <v>41800000</v>
      </c>
      <c r="E35">
        <v>35530000</v>
      </c>
      <c r="F35">
        <v>4180000</v>
      </c>
      <c r="H35" t="s">
        <v>1548</v>
      </c>
    </row>
    <row r="36" spans="1:8" x14ac:dyDescent="0.25">
      <c r="A36" t="s">
        <v>52</v>
      </c>
      <c r="B36">
        <v>11</v>
      </c>
      <c r="C36" t="s">
        <v>531</v>
      </c>
      <c r="D36">
        <v>41800000</v>
      </c>
      <c r="E36">
        <v>38874000</v>
      </c>
      <c r="F36">
        <v>3344000</v>
      </c>
      <c r="H36" t="s">
        <v>1548</v>
      </c>
    </row>
    <row r="37" spans="1:8" x14ac:dyDescent="0.25">
      <c r="A37" t="s">
        <v>55</v>
      </c>
      <c r="B37">
        <v>12</v>
      </c>
      <c r="C37" t="s">
        <v>531</v>
      </c>
      <c r="D37">
        <v>41800000</v>
      </c>
      <c r="E37">
        <v>41800000</v>
      </c>
      <c r="F37">
        <v>2926000</v>
      </c>
      <c r="H37" t="s">
        <v>1548</v>
      </c>
    </row>
    <row r="38" spans="1:8" x14ac:dyDescent="0.25">
      <c r="A38" t="s">
        <v>12</v>
      </c>
      <c r="B38">
        <v>1</v>
      </c>
      <c r="C38" t="s">
        <v>794</v>
      </c>
      <c r="D38">
        <v>22600000</v>
      </c>
      <c r="E38">
        <v>678000</v>
      </c>
      <c r="F38">
        <v>678000</v>
      </c>
      <c r="G38">
        <v>678000</v>
      </c>
      <c r="H38" t="s">
        <v>1547</v>
      </c>
    </row>
    <row r="39" spans="1:8" x14ac:dyDescent="0.25">
      <c r="A39" t="s">
        <v>21</v>
      </c>
      <c r="B39">
        <v>2</v>
      </c>
      <c r="C39" t="s">
        <v>794</v>
      </c>
      <c r="D39">
        <v>22600000</v>
      </c>
      <c r="E39">
        <v>1808000</v>
      </c>
      <c r="F39">
        <v>1130000</v>
      </c>
      <c r="G39">
        <v>1785400</v>
      </c>
      <c r="H39" t="s">
        <v>1547</v>
      </c>
    </row>
    <row r="40" spans="1:8" x14ac:dyDescent="0.25">
      <c r="A40" t="s">
        <v>25</v>
      </c>
      <c r="B40">
        <v>3</v>
      </c>
      <c r="C40" t="s">
        <v>794</v>
      </c>
      <c r="D40">
        <v>22600000</v>
      </c>
      <c r="E40">
        <v>3164000</v>
      </c>
      <c r="F40">
        <v>1356000</v>
      </c>
      <c r="G40">
        <v>3118800</v>
      </c>
      <c r="H40" t="s">
        <v>1547</v>
      </c>
    </row>
    <row r="41" spans="1:8" x14ac:dyDescent="0.25">
      <c r="A41" t="s">
        <v>29</v>
      </c>
      <c r="B41">
        <v>4</v>
      </c>
      <c r="C41" t="s">
        <v>794</v>
      </c>
      <c r="D41">
        <v>22600000</v>
      </c>
      <c r="E41">
        <v>4972000</v>
      </c>
      <c r="F41">
        <v>1808000</v>
      </c>
      <c r="G41">
        <v>4859000</v>
      </c>
      <c r="H41" t="s">
        <v>1547</v>
      </c>
    </row>
    <row r="42" spans="1:8" x14ac:dyDescent="0.25">
      <c r="A42" t="s">
        <v>32</v>
      </c>
      <c r="B42">
        <v>5</v>
      </c>
      <c r="C42" t="s">
        <v>794</v>
      </c>
      <c r="D42">
        <v>22600000</v>
      </c>
      <c r="E42">
        <v>7458000</v>
      </c>
      <c r="F42">
        <v>2486000</v>
      </c>
      <c r="G42">
        <v>7209400</v>
      </c>
      <c r="H42" t="s">
        <v>1547</v>
      </c>
    </row>
    <row r="43" spans="1:8" x14ac:dyDescent="0.25">
      <c r="A43" t="s">
        <v>35</v>
      </c>
      <c r="B43">
        <v>6</v>
      </c>
      <c r="C43" t="s">
        <v>794</v>
      </c>
      <c r="D43">
        <v>22600000</v>
      </c>
      <c r="E43">
        <v>10396000</v>
      </c>
      <c r="F43">
        <v>2938000</v>
      </c>
      <c r="G43">
        <v>10102200</v>
      </c>
      <c r="H43" t="s">
        <v>1547</v>
      </c>
    </row>
    <row r="44" spans="1:8" x14ac:dyDescent="0.25">
      <c r="A44" t="s">
        <v>38</v>
      </c>
      <c r="B44">
        <v>7</v>
      </c>
      <c r="C44" t="s">
        <v>794</v>
      </c>
      <c r="D44">
        <v>22600000</v>
      </c>
      <c r="E44">
        <v>13334000</v>
      </c>
      <c r="F44">
        <v>2938000</v>
      </c>
      <c r="G44">
        <v>12927200</v>
      </c>
      <c r="H44" t="s">
        <v>1547</v>
      </c>
    </row>
    <row r="45" spans="1:8" x14ac:dyDescent="0.25">
      <c r="A45" t="s">
        <v>42</v>
      </c>
      <c r="B45">
        <v>8</v>
      </c>
      <c r="C45" t="s">
        <v>794</v>
      </c>
      <c r="D45">
        <v>22600000</v>
      </c>
      <c r="E45">
        <v>16046000</v>
      </c>
      <c r="F45">
        <v>2712000</v>
      </c>
      <c r="G45">
        <v>15774800</v>
      </c>
      <c r="H45" t="s">
        <v>1547</v>
      </c>
    </row>
    <row r="46" spans="1:8" x14ac:dyDescent="0.25">
      <c r="A46" t="s">
        <v>45</v>
      </c>
      <c r="B46">
        <v>9</v>
      </c>
      <c r="C46" t="s">
        <v>794</v>
      </c>
      <c r="D46">
        <v>22600000</v>
      </c>
      <c r="E46">
        <v>18532000</v>
      </c>
      <c r="F46">
        <v>2486000</v>
      </c>
      <c r="G46">
        <v>18193000</v>
      </c>
      <c r="H46" t="s">
        <v>1547</v>
      </c>
    </row>
    <row r="47" spans="1:8" x14ac:dyDescent="0.25">
      <c r="A47" t="s">
        <v>48</v>
      </c>
      <c r="B47">
        <v>10</v>
      </c>
      <c r="C47" t="s">
        <v>794</v>
      </c>
      <c r="D47">
        <v>22600000</v>
      </c>
      <c r="E47">
        <v>20340000</v>
      </c>
      <c r="F47">
        <v>1808000</v>
      </c>
      <c r="H47" t="s">
        <v>1548</v>
      </c>
    </row>
    <row r="48" spans="1:8" x14ac:dyDescent="0.25">
      <c r="A48" t="s">
        <v>52</v>
      </c>
      <c r="B48">
        <v>11</v>
      </c>
      <c r="C48" t="s">
        <v>794</v>
      </c>
      <c r="D48">
        <v>22600000</v>
      </c>
      <c r="E48">
        <v>21696000</v>
      </c>
      <c r="F48">
        <v>1356000</v>
      </c>
      <c r="H48" t="s">
        <v>1548</v>
      </c>
    </row>
    <row r="49" spans="1:8" x14ac:dyDescent="0.25">
      <c r="A49" t="s">
        <v>55</v>
      </c>
      <c r="B49">
        <v>12</v>
      </c>
      <c r="C49" t="s">
        <v>794</v>
      </c>
      <c r="D49">
        <v>22600000</v>
      </c>
      <c r="E49">
        <v>22600000</v>
      </c>
      <c r="F49">
        <v>904000</v>
      </c>
      <c r="H49" t="s">
        <v>1548</v>
      </c>
    </row>
    <row r="50" spans="1:8" x14ac:dyDescent="0.25">
      <c r="A50" t="s">
        <v>12</v>
      </c>
      <c r="B50">
        <v>1</v>
      </c>
      <c r="C50" t="s">
        <v>1031</v>
      </c>
      <c r="D50">
        <v>28900000</v>
      </c>
      <c r="E50">
        <v>0</v>
      </c>
      <c r="F50">
        <v>0</v>
      </c>
      <c r="H50" t="s">
        <v>1547</v>
      </c>
    </row>
    <row r="51" spans="1:8" x14ac:dyDescent="0.25">
      <c r="A51" t="s">
        <v>21</v>
      </c>
      <c r="B51">
        <v>2</v>
      </c>
      <c r="C51" t="s">
        <v>1031</v>
      </c>
      <c r="D51">
        <v>28900000</v>
      </c>
      <c r="E51">
        <v>289000</v>
      </c>
      <c r="F51">
        <v>289000</v>
      </c>
      <c r="G51">
        <v>289000</v>
      </c>
      <c r="H51" t="s">
        <v>1547</v>
      </c>
    </row>
    <row r="52" spans="1:8" x14ac:dyDescent="0.25">
      <c r="A52" t="s">
        <v>25</v>
      </c>
      <c r="B52">
        <v>3</v>
      </c>
      <c r="C52" t="s">
        <v>1031</v>
      </c>
      <c r="D52">
        <v>28900000</v>
      </c>
      <c r="E52">
        <v>867000</v>
      </c>
      <c r="F52">
        <v>578000</v>
      </c>
      <c r="G52">
        <v>838100</v>
      </c>
      <c r="H52" t="s">
        <v>1547</v>
      </c>
    </row>
    <row r="53" spans="1:8" x14ac:dyDescent="0.25">
      <c r="A53" t="s">
        <v>29</v>
      </c>
      <c r="B53">
        <v>4</v>
      </c>
      <c r="C53" t="s">
        <v>1031</v>
      </c>
      <c r="D53">
        <v>28900000</v>
      </c>
      <c r="E53">
        <v>2023000</v>
      </c>
      <c r="F53">
        <v>1156000</v>
      </c>
      <c r="G53">
        <v>1965200</v>
      </c>
      <c r="H53" t="s">
        <v>1547</v>
      </c>
    </row>
    <row r="54" spans="1:8" x14ac:dyDescent="0.25">
      <c r="A54" t="s">
        <v>32</v>
      </c>
      <c r="B54">
        <v>5</v>
      </c>
      <c r="C54" t="s">
        <v>1031</v>
      </c>
      <c r="D54">
        <v>28900000</v>
      </c>
      <c r="E54">
        <v>3757000</v>
      </c>
      <c r="F54">
        <v>1734000</v>
      </c>
      <c r="G54">
        <v>3612500</v>
      </c>
      <c r="H54" t="s">
        <v>1547</v>
      </c>
    </row>
    <row r="55" spans="1:8" x14ac:dyDescent="0.25">
      <c r="A55" t="s">
        <v>35</v>
      </c>
      <c r="B55">
        <v>6</v>
      </c>
      <c r="C55" t="s">
        <v>1031</v>
      </c>
      <c r="D55">
        <v>28900000</v>
      </c>
      <c r="E55">
        <v>6069000</v>
      </c>
      <c r="F55">
        <v>2312000</v>
      </c>
      <c r="G55">
        <v>5722200</v>
      </c>
      <c r="H55" t="s">
        <v>1547</v>
      </c>
    </row>
    <row r="56" spans="1:8" x14ac:dyDescent="0.25">
      <c r="A56" t="s">
        <v>38</v>
      </c>
      <c r="B56">
        <v>7</v>
      </c>
      <c r="C56" t="s">
        <v>1031</v>
      </c>
      <c r="D56">
        <v>28900000</v>
      </c>
      <c r="E56">
        <v>9537000</v>
      </c>
      <c r="F56">
        <v>3468000</v>
      </c>
      <c r="H56" t="s">
        <v>1548</v>
      </c>
    </row>
    <row r="57" spans="1:8" x14ac:dyDescent="0.25">
      <c r="A57" t="s">
        <v>42</v>
      </c>
      <c r="B57">
        <v>8</v>
      </c>
      <c r="C57" t="s">
        <v>1031</v>
      </c>
      <c r="D57">
        <v>28900000</v>
      </c>
      <c r="E57">
        <v>13583000</v>
      </c>
      <c r="F57">
        <v>4046000</v>
      </c>
      <c r="H57" t="s">
        <v>1548</v>
      </c>
    </row>
    <row r="58" spans="1:8" x14ac:dyDescent="0.25">
      <c r="A58" t="s">
        <v>45</v>
      </c>
      <c r="B58">
        <v>9</v>
      </c>
      <c r="C58" t="s">
        <v>1031</v>
      </c>
      <c r="D58">
        <v>28900000</v>
      </c>
      <c r="E58">
        <v>17918000</v>
      </c>
      <c r="F58">
        <v>4335000</v>
      </c>
      <c r="H58" t="s">
        <v>1548</v>
      </c>
    </row>
    <row r="59" spans="1:8" x14ac:dyDescent="0.25">
      <c r="A59" t="s">
        <v>48</v>
      </c>
      <c r="B59">
        <v>10</v>
      </c>
      <c r="C59" t="s">
        <v>1031</v>
      </c>
      <c r="D59">
        <v>28900000</v>
      </c>
      <c r="E59">
        <v>21964000</v>
      </c>
      <c r="F59">
        <v>4046000</v>
      </c>
      <c r="H59" t="s">
        <v>1548</v>
      </c>
    </row>
    <row r="60" spans="1:8" x14ac:dyDescent="0.25">
      <c r="A60" t="s">
        <v>52</v>
      </c>
      <c r="B60">
        <v>11</v>
      </c>
      <c r="C60" t="s">
        <v>1031</v>
      </c>
      <c r="D60">
        <v>28900000</v>
      </c>
      <c r="E60">
        <v>25432000</v>
      </c>
      <c r="F60">
        <v>3468000</v>
      </c>
      <c r="H60" t="s">
        <v>1548</v>
      </c>
    </row>
    <row r="61" spans="1:8" x14ac:dyDescent="0.25">
      <c r="A61" t="s">
        <v>55</v>
      </c>
      <c r="B61">
        <v>12</v>
      </c>
      <c r="C61" t="s">
        <v>1031</v>
      </c>
      <c r="D61">
        <v>28900000</v>
      </c>
      <c r="E61">
        <v>28900000</v>
      </c>
      <c r="F61">
        <v>3468000</v>
      </c>
      <c r="H61" t="s">
        <v>1548</v>
      </c>
    </row>
    <row r="62" spans="1:8" x14ac:dyDescent="0.25">
      <c r="A62" t="s">
        <v>12</v>
      </c>
      <c r="B62">
        <v>1</v>
      </c>
      <c r="C62" t="s">
        <v>1275</v>
      </c>
      <c r="D62">
        <v>11400000</v>
      </c>
      <c r="E62">
        <v>912000</v>
      </c>
      <c r="F62">
        <v>912000</v>
      </c>
      <c r="G62">
        <v>934800</v>
      </c>
      <c r="H62" t="s">
        <v>1547</v>
      </c>
    </row>
    <row r="63" spans="1:8" x14ac:dyDescent="0.25">
      <c r="A63" t="s">
        <v>21</v>
      </c>
      <c r="B63">
        <v>2</v>
      </c>
      <c r="C63" t="s">
        <v>1275</v>
      </c>
      <c r="D63">
        <v>11400000</v>
      </c>
      <c r="E63">
        <v>1824000</v>
      </c>
      <c r="F63">
        <v>912000</v>
      </c>
      <c r="G63">
        <v>1881000</v>
      </c>
      <c r="H63" t="s">
        <v>1547</v>
      </c>
    </row>
    <row r="64" spans="1:8" x14ac:dyDescent="0.25">
      <c r="A64" t="s">
        <v>25</v>
      </c>
      <c r="B64">
        <v>3</v>
      </c>
      <c r="C64" t="s">
        <v>1275</v>
      </c>
      <c r="D64">
        <v>11400000</v>
      </c>
      <c r="E64">
        <v>2850000</v>
      </c>
      <c r="F64">
        <v>1026000</v>
      </c>
      <c r="G64">
        <v>2861400</v>
      </c>
      <c r="H64" t="s">
        <v>1547</v>
      </c>
    </row>
    <row r="65" spans="1:8" x14ac:dyDescent="0.25">
      <c r="A65" t="s">
        <v>29</v>
      </c>
      <c r="B65">
        <v>4</v>
      </c>
      <c r="C65" t="s">
        <v>1275</v>
      </c>
      <c r="D65">
        <v>11400000</v>
      </c>
      <c r="E65">
        <v>3762000</v>
      </c>
      <c r="F65">
        <v>912000</v>
      </c>
      <c r="G65">
        <v>3762000</v>
      </c>
      <c r="H65" t="s">
        <v>1547</v>
      </c>
    </row>
    <row r="66" spans="1:8" x14ac:dyDescent="0.25">
      <c r="A66" t="s">
        <v>32</v>
      </c>
      <c r="B66">
        <v>5</v>
      </c>
      <c r="C66" t="s">
        <v>1275</v>
      </c>
      <c r="D66">
        <v>11400000</v>
      </c>
      <c r="E66">
        <v>4788000</v>
      </c>
      <c r="F66">
        <v>1026000</v>
      </c>
      <c r="G66">
        <v>4765200</v>
      </c>
      <c r="H66" t="s">
        <v>1547</v>
      </c>
    </row>
    <row r="67" spans="1:8" x14ac:dyDescent="0.25">
      <c r="A67" t="s">
        <v>35</v>
      </c>
      <c r="B67">
        <v>6</v>
      </c>
      <c r="C67" t="s">
        <v>1275</v>
      </c>
      <c r="D67">
        <v>11400000</v>
      </c>
      <c r="E67">
        <v>5700000</v>
      </c>
      <c r="F67">
        <v>912000</v>
      </c>
      <c r="G67">
        <v>5688600</v>
      </c>
      <c r="H67" t="s">
        <v>1547</v>
      </c>
    </row>
    <row r="68" spans="1:8" x14ac:dyDescent="0.25">
      <c r="A68" t="s">
        <v>38</v>
      </c>
      <c r="B68">
        <v>7</v>
      </c>
      <c r="C68" t="s">
        <v>1275</v>
      </c>
      <c r="D68">
        <v>11400000</v>
      </c>
      <c r="E68">
        <v>6612000</v>
      </c>
      <c r="F68">
        <v>912000</v>
      </c>
      <c r="G68">
        <v>6589200</v>
      </c>
      <c r="H68" t="s">
        <v>1547</v>
      </c>
    </row>
    <row r="69" spans="1:8" x14ac:dyDescent="0.25">
      <c r="A69" t="s">
        <v>42</v>
      </c>
      <c r="B69">
        <v>8</v>
      </c>
      <c r="C69" t="s">
        <v>1275</v>
      </c>
      <c r="D69">
        <v>11400000</v>
      </c>
      <c r="E69">
        <v>7638000</v>
      </c>
      <c r="F69">
        <v>1026000</v>
      </c>
      <c r="G69">
        <v>7581000</v>
      </c>
      <c r="H69" t="s">
        <v>1547</v>
      </c>
    </row>
    <row r="70" spans="1:8" x14ac:dyDescent="0.25">
      <c r="A70" t="s">
        <v>45</v>
      </c>
      <c r="B70">
        <v>9</v>
      </c>
      <c r="C70" t="s">
        <v>1275</v>
      </c>
      <c r="D70">
        <v>11400000</v>
      </c>
      <c r="E70">
        <v>8550000</v>
      </c>
      <c r="F70">
        <v>912000</v>
      </c>
      <c r="H70" t="s">
        <v>1548</v>
      </c>
    </row>
    <row r="71" spans="1:8" x14ac:dyDescent="0.25">
      <c r="A71" t="s">
        <v>48</v>
      </c>
      <c r="B71">
        <v>10</v>
      </c>
      <c r="C71" t="s">
        <v>1275</v>
      </c>
      <c r="D71">
        <v>11400000</v>
      </c>
      <c r="E71">
        <v>9462000</v>
      </c>
      <c r="F71">
        <v>912000</v>
      </c>
      <c r="H71" t="s">
        <v>1548</v>
      </c>
    </row>
    <row r="72" spans="1:8" x14ac:dyDescent="0.25">
      <c r="A72" t="s">
        <v>52</v>
      </c>
      <c r="B72">
        <v>11</v>
      </c>
      <c r="C72" t="s">
        <v>1275</v>
      </c>
      <c r="D72">
        <v>11400000</v>
      </c>
      <c r="E72">
        <v>10488000</v>
      </c>
      <c r="F72">
        <v>1026000</v>
      </c>
      <c r="H72" t="s">
        <v>1548</v>
      </c>
    </row>
    <row r="73" spans="1:8" x14ac:dyDescent="0.25">
      <c r="A73" t="s">
        <v>55</v>
      </c>
      <c r="B73">
        <v>12</v>
      </c>
      <c r="C73" t="s">
        <v>1275</v>
      </c>
      <c r="D73">
        <v>11400000</v>
      </c>
      <c r="E73">
        <v>11400000</v>
      </c>
      <c r="F73">
        <v>912000</v>
      </c>
      <c r="H73" t="s">
        <v>1548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27C8-E040-48DA-8F2E-3F90B2051232}">
  <sheetPr>
    <tabColor theme="8" tint="0.59999389629810485"/>
  </sheetPr>
  <dimension ref="A1:L17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6.140625" bestFit="1" customWidth="1"/>
    <col min="2" max="2" width="17.7109375" bestFit="1" customWidth="1"/>
    <col min="3" max="3" width="15.5703125" bestFit="1" customWidth="1"/>
    <col min="4" max="4" width="16.28515625" bestFit="1" customWidth="1"/>
    <col min="5" max="5" width="12.7109375" bestFit="1" customWidth="1"/>
    <col min="6" max="6" width="18" bestFit="1" customWidth="1"/>
    <col min="7" max="7" width="16.7109375" bestFit="1" customWidth="1"/>
    <col min="8" max="8" width="18.5703125" customWidth="1"/>
    <col min="9" max="9" width="10.42578125" bestFit="1" customWidth="1"/>
    <col min="12" max="12" width="0" hidden="1" customWidth="1"/>
  </cols>
  <sheetData>
    <row r="1" spans="1:12" ht="18.75" x14ac:dyDescent="0.3">
      <c r="A1" s="7" t="s">
        <v>1549</v>
      </c>
      <c r="B1" s="7"/>
      <c r="C1" s="7"/>
      <c r="D1" s="7"/>
      <c r="E1" s="7"/>
      <c r="F1" s="7"/>
      <c r="G1" s="7"/>
      <c r="H1" s="7"/>
    </row>
    <row r="2" spans="1:12" ht="15.75" x14ac:dyDescent="0.25">
      <c r="A2" s="8" t="s">
        <v>1550</v>
      </c>
      <c r="B2" s="8"/>
      <c r="C2" s="8"/>
      <c r="D2" s="8"/>
      <c r="E2" s="8"/>
      <c r="F2" s="8"/>
      <c r="G2" s="8"/>
      <c r="H2" s="8"/>
    </row>
    <row r="4" spans="1:12" x14ac:dyDescent="0.25">
      <c r="A4" t="s">
        <v>1551</v>
      </c>
      <c r="B4" s="1">
        <v>46258</v>
      </c>
      <c r="L4">
        <f>MONTH(B4)</f>
        <v>8</v>
      </c>
    </row>
    <row r="9" spans="1:12" x14ac:dyDescent="0.25">
      <c r="A9" s="2" t="s">
        <v>1552</v>
      </c>
      <c r="B9" s="4" t="s">
        <v>1553</v>
      </c>
      <c r="C9" s="2" t="s">
        <v>1554</v>
      </c>
      <c r="D9" s="2" t="s">
        <v>1555</v>
      </c>
      <c r="E9" s="2" t="s">
        <v>1556</v>
      </c>
      <c r="F9" s="2" t="s">
        <v>1557</v>
      </c>
      <c r="G9" s="2" t="s">
        <v>1558</v>
      </c>
      <c r="H9" s="2" t="s">
        <v>1559</v>
      </c>
      <c r="I9" s="2" t="s">
        <v>1560</v>
      </c>
    </row>
    <row r="10" spans="1:12" x14ac:dyDescent="0.25">
      <c r="A10" t="s">
        <v>13</v>
      </c>
      <c r="B10" s="10">
        <f xml:space="preserve"> SUMIFS(table_budget[Current_Budget], table_budget[Trade], TRIM(A10))</f>
        <v>19012000</v>
      </c>
      <c r="C10" s="9" cm="1">
        <f t="array" ref="C10">SUMPRODUCT((TRIM(table_ledger[Trade])=TRIM(A10))*(table_ledger[Status]="Posted")*(MONTH(table_ledger[Month])&lt;=$L$4)*(table_ledger[Actual_Cost]))</f>
        <v>14010395.949999996</v>
      </c>
      <c r="D10" s="9">
        <f xml:space="preserve"> C10-B10</f>
        <v>-5001604.0500000045</v>
      </c>
      <c r="E10" s="5">
        <f>IFERROR(D10/B10,0)</f>
        <v>-0.26307616505365056</v>
      </c>
      <c r="F10" s="9">
        <f xml:space="preserve"> IFERROR(B10 + (C10 - B10)* (1-H10), B10)</f>
        <v>17696197.187409192</v>
      </c>
      <c r="G10" s="10">
        <f>SUMIFS(table_budget[Contingency], table_budget[Trade], TRIM(A10))</f>
        <v>1711000</v>
      </c>
      <c r="H10" s="5">
        <f xml:space="preserve"> IFERROR(C10/B10,0)</f>
        <v>0.73692383494634939</v>
      </c>
      <c r="I10" t="str">
        <f>IF(H10&lt;0.5, "RED", IF(H10&lt;0.7, "AMBER", "GREEN"))</f>
        <v>GREEN</v>
      </c>
    </row>
    <row r="11" spans="1:12" x14ac:dyDescent="0.25">
      <c r="A11" t="s">
        <v>293</v>
      </c>
      <c r="B11" s="10">
        <f xml:space="preserve"> SUMIFS(table_budget[Current_Budget], table_budget[Trade], TRIM(A11))</f>
        <v>33301000</v>
      </c>
      <c r="C11" s="9" cm="1">
        <f t="array" ref="C11">SUMPRODUCT((TRIM(table_ledger[Trade])=TRIM(A11))*(table_ledger[Status]="Posted")*(MONTH(table_ledger[Month])&lt;=$L$4)*(table_ledger[Actual_Cost]))</f>
        <v>24870095.47000001</v>
      </c>
      <c r="D11" s="9">
        <f t="shared" ref="D11:D15" si="0" xml:space="preserve"> C11-B11</f>
        <v>-8430904.52999999</v>
      </c>
      <c r="E11" s="5">
        <f t="shared" ref="E11:E15" si="1">IFERROR(D11/B11,0)</f>
        <v>-0.2531727134320288</v>
      </c>
      <c r="F11" s="9">
        <f t="shared" ref="F11:F15" si="2" xml:space="preserve"> IFERROR(B11 + (C11 - B11)* (1-H11), B11)</f>
        <v>31166525.023453519</v>
      </c>
      <c r="G11" s="10">
        <f>SUMIFS(table_budget[Contingency], table_budget[Trade], TRIM(A11))</f>
        <v>2534000</v>
      </c>
      <c r="H11" s="5">
        <f t="shared" ref="H11:H15" si="3" xml:space="preserve"> IFERROR(C11/B11,0)</f>
        <v>0.74682728656797126</v>
      </c>
      <c r="I11" t="str">
        <f t="shared" ref="I11:I15" si="4">IF(H11&lt;0.5, "RED", IF(H11&lt;0.7, "AMBER", "GREEN"))</f>
        <v>GREEN</v>
      </c>
    </row>
    <row r="12" spans="1:12" x14ac:dyDescent="0.25">
      <c r="A12" t="s">
        <v>531</v>
      </c>
      <c r="B12" s="10">
        <f xml:space="preserve"> SUMIFS(table_budget[Current_Budget], table_budget[Trade], TRIM(A12))</f>
        <v>42925000</v>
      </c>
      <c r="C12" s="9" cm="1">
        <f t="array" ref="C12">SUMPRODUCT((TRIM(table_ledger[Trade])=TRIM(A12))*(table_ledger[Status]="Posted")*(MONTH(table_ledger[Month])&lt;=$L$4)*(table_ledger[Actual_Cost]))</f>
        <v>22783166.370000001</v>
      </c>
      <c r="D12" s="9">
        <f t="shared" si="0"/>
        <v>-20141833.629999999</v>
      </c>
      <c r="E12" s="5">
        <f t="shared" si="1"/>
        <v>-0.46923316552125799</v>
      </c>
      <c r="F12" s="9">
        <f t="shared" si="2"/>
        <v>33473783.646392569</v>
      </c>
      <c r="G12" s="10">
        <f>SUMIFS(table_budget[Contingency], table_budget[Trade], TRIM(A12))</f>
        <v>3339000</v>
      </c>
      <c r="H12" s="5">
        <f t="shared" si="3"/>
        <v>0.53076683447874207</v>
      </c>
      <c r="I12" t="str">
        <f t="shared" si="4"/>
        <v>AMBER</v>
      </c>
    </row>
    <row r="13" spans="1:12" x14ac:dyDescent="0.25">
      <c r="A13" t="s">
        <v>794</v>
      </c>
      <c r="B13" s="10">
        <f xml:space="preserve"> SUMIFS(table_budget[Current_Budget], table_budget[Trade], TRIM(A13))</f>
        <v>22972000</v>
      </c>
      <c r="C13" s="9" cm="1">
        <f t="array" ref="C13">SUMPRODUCT((TRIM(table_ledger[Trade])=TRIM(A13))*(table_ledger[Status]="Posted")*(MONTH(table_ledger[Month])&lt;=$L$4)*(table_ledger[Actual_Cost]))</f>
        <v>15649608.300000006</v>
      </c>
      <c r="D13" s="9">
        <f t="shared" si="0"/>
        <v>-7322391.6999999937</v>
      </c>
      <c r="E13" s="5">
        <f t="shared" si="1"/>
        <v>-0.31875290353473767</v>
      </c>
      <c r="F13" s="9">
        <f t="shared" si="2"/>
        <v>20637966.384806339</v>
      </c>
      <c r="G13" s="10">
        <f>SUMIFS(table_budget[Contingency], table_budget[Trade], TRIM(A13))</f>
        <v>2081000</v>
      </c>
      <c r="H13" s="5">
        <f t="shared" si="3"/>
        <v>0.68124709646526238</v>
      </c>
      <c r="I13" t="str">
        <f t="shared" si="4"/>
        <v>AMBER</v>
      </c>
    </row>
    <row r="14" spans="1:12" x14ac:dyDescent="0.25">
      <c r="A14" t="s">
        <v>1031</v>
      </c>
      <c r="B14" s="10">
        <f xml:space="preserve"> SUMIFS(table_budget[Current_Budget], table_budget[Trade], TRIM(A14))</f>
        <v>29875000</v>
      </c>
      <c r="C14" s="9" cm="1">
        <f t="array" ref="C14">SUMPRODUCT((TRIM(table_ledger[Trade])=TRIM(A14))*(table_ledger[Status]="Posted")*(MONTH(table_ledger[Month])&lt;=$L$4)*(table_ledger[Actual_Cost]))</f>
        <v>5699208.7600000007</v>
      </c>
      <c r="D14" s="9">
        <f t="shared" si="0"/>
        <v>-24175791.239999998</v>
      </c>
      <c r="E14" s="5">
        <f t="shared" si="1"/>
        <v>-0.80923150594142257</v>
      </c>
      <c r="F14" s="9">
        <f t="shared" si="2"/>
        <v>10311188.047529351</v>
      </c>
      <c r="G14" s="10">
        <f>SUMIFS(table_budget[Contingency], table_budget[Trade], TRIM(A14))</f>
        <v>2567000</v>
      </c>
      <c r="H14" s="5">
        <f t="shared" si="3"/>
        <v>0.19076849405857743</v>
      </c>
      <c r="I14" t="str">
        <f t="shared" si="4"/>
        <v>RED</v>
      </c>
    </row>
    <row r="15" spans="1:12" x14ac:dyDescent="0.25">
      <c r="A15" t="s">
        <v>1275</v>
      </c>
      <c r="B15" s="10">
        <f xml:space="preserve"> SUMIFS(table_budget[Current_Budget], table_budget[Trade], TRIM(A15))</f>
        <v>11560000</v>
      </c>
      <c r="C15" s="9" cm="1">
        <f t="array" ref="C15">SUMPRODUCT((TRIM(table_ledger[Trade])=TRIM(A15))*(table_ledger[Status]="Posted")*(MONTH(table_ledger[Month])&lt;=$L$4)*(table_ledger[Actual_Cost]))</f>
        <v>7680788.3900000015</v>
      </c>
      <c r="D15" s="9">
        <f t="shared" si="0"/>
        <v>-3879211.6099999985</v>
      </c>
      <c r="E15" s="5">
        <f t="shared" si="1"/>
        <v>-0.33557193858131473</v>
      </c>
      <c r="F15" s="9">
        <f t="shared" si="2"/>
        <v>10258245.439865157</v>
      </c>
      <c r="G15" s="10">
        <f>SUMIFS(table_budget[Contingency], table_budget[Trade], TRIM(A15))</f>
        <v>1035000</v>
      </c>
      <c r="H15" s="5">
        <f t="shared" si="3"/>
        <v>0.66442806141868527</v>
      </c>
      <c r="I15" t="str">
        <f t="shared" si="4"/>
        <v>AMBER</v>
      </c>
    </row>
    <row r="16" spans="1:12" x14ac:dyDescent="0.25">
      <c r="A16" s="3" t="s">
        <v>1561</v>
      </c>
      <c r="B16" s="11">
        <f>SUM(B10:B15)</f>
        <v>159645000</v>
      </c>
      <c r="C16" s="6">
        <f>SUM(C10:C15)</f>
        <v>90693263.240000024</v>
      </c>
      <c r="D16" s="6">
        <f>SUM(D10:D15)</f>
        <v>-68951736.75999999</v>
      </c>
      <c r="E16" s="3"/>
      <c r="F16" s="3"/>
      <c r="G16" s="11">
        <f>SUM(G10:G15)</f>
        <v>13267000</v>
      </c>
      <c r="H16" s="3"/>
      <c r="I16" s="3"/>
    </row>
    <row r="17" spans="7:7" x14ac:dyDescent="0.25">
      <c r="G17" s="12"/>
    </row>
  </sheetData>
  <mergeCells count="2">
    <mergeCell ref="A1:H1"/>
    <mergeCell ref="A2:H2"/>
  </mergeCells>
  <conditionalFormatting sqref="D10:D15">
    <cfRule type="cellIs" dxfId="4" priority="5" operator="lessThan">
      <formula>0</formula>
    </cfRule>
    <cfRule type="cellIs" dxfId="3" priority="6" operator="greaterThan">
      <formula>0</formula>
    </cfRule>
  </conditionalFormatting>
  <conditionalFormatting sqref="I10:I15">
    <cfRule type="cellIs" dxfId="2" priority="2" operator="equal">
      <formula>"GREEN"</formula>
    </cfRule>
    <cfRule type="cellIs" dxfId="1" priority="3" operator="equal">
      <formula>"AMBER"</formula>
    </cfRule>
    <cfRule type="cellIs" dxfId="0" priority="4" operator="equal">
      <formula>"RED"</formula>
    </cfRule>
  </conditionalFormatting>
  <conditionalFormatting sqref="H10:H1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{39273A70-39C5-4CB9-98E7-1601C175D281}</x14:id>
        </ext>
      </extLst>
    </cfRule>
  </conditionalFormatting>
  <dataValidations count="1">
    <dataValidation type="list" showInputMessage="1" showErrorMessage="1" sqref="B4" xr:uid="{59FC7D4F-8E24-4146-BEB2-5F631E94B77A}">
      <formula1>"          ,24-Jan, 24-Feb, 24-Mar, 24-Apr, 24-May, 24-Jun, 24-Jul, 24-Aug, 24-Sep, 24-Oct, 24-Nov, 24-Dec"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273A70-39C5-4CB9-98E7-1601C175D28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H10:H15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6E89-86C6-4E3D-9997-97C1109FBD5D}">
  <sheetPr>
    <tabColor rgb="FFFF7C80"/>
  </sheetPr>
  <dimension ref="A1:E13"/>
  <sheetViews>
    <sheetView tabSelected="1" workbookViewId="0">
      <selection activeCell="C16" sqref="C16"/>
    </sheetView>
  </sheetViews>
  <sheetFormatPr defaultRowHeight="15" x14ac:dyDescent="0.25"/>
  <cols>
    <col min="2" max="2" width="7.28515625" bestFit="1" customWidth="1"/>
    <col min="3" max="3" width="25.5703125" bestFit="1" customWidth="1"/>
    <col min="4" max="4" width="23.85546875" bestFit="1" customWidth="1"/>
    <col min="5" max="5" width="13.140625" bestFit="1" customWidth="1"/>
  </cols>
  <sheetData>
    <row r="1" spans="1:5" x14ac:dyDescent="0.25">
      <c r="A1" t="s">
        <v>1541</v>
      </c>
      <c r="B1" t="s">
        <v>1</v>
      </c>
      <c r="C1" t="s">
        <v>1562</v>
      </c>
      <c r="D1" t="s">
        <v>1563</v>
      </c>
      <c r="E1" t="s">
        <v>1564</v>
      </c>
    </row>
    <row r="2" spans="1:5" x14ac:dyDescent="0.25">
      <c r="A2">
        <v>1</v>
      </c>
      <c r="B2" s="13">
        <v>46046</v>
      </c>
      <c r="C2" s="10" cm="1">
        <f t="array" ref="C2">SUMPRODUCT((MONTH(table_ledger[Month])&lt;=A2)*(table_ledger[Planned_Cost]))</f>
        <v>3392030</v>
      </c>
      <c r="D2" s="12" cm="1">
        <f t="array" ref="D2">SUMPRODUCT((table_ledger[Status]="Posted")*(MONTH(table_ledger[Month])&lt;=A2)*(table_ledger[Actual_Cost]))</f>
        <v>3519349.0699999994</v>
      </c>
      <c r="E2" s="12">
        <f>D2-C2</f>
        <v>127319.06999999937</v>
      </c>
    </row>
    <row r="3" spans="1:5" x14ac:dyDescent="0.25">
      <c r="A3">
        <v>2</v>
      </c>
      <c r="B3" s="13">
        <v>46077</v>
      </c>
      <c r="C3" s="10" cm="1">
        <f t="array" ref="C3">SUMPRODUCT((MONTH(table_ledger[Month])&lt;=A3)*(table_ledger[Planned_Cost]))</f>
        <v>8450080</v>
      </c>
      <c r="D3" s="12" cm="1">
        <f t="array" ref="D3">SUMPRODUCT((table_ledger[Status]="Posted")*(MONTH(table_ledger[Month])&lt;=A3)*(table_ledger[Actual_Cost]))</f>
        <v>8819448.3100000005</v>
      </c>
      <c r="E3" s="12">
        <f t="shared" ref="E3:E13" si="0">D3-C3</f>
        <v>369368.31000000052</v>
      </c>
    </row>
    <row r="4" spans="1:5" x14ac:dyDescent="0.25">
      <c r="A4">
        <v>3</v>
      </c>
      <c r="B4" s="13">
        <v>46105</v>
      </c>
      <c r="C4" s="10" cm="1">
        <f t="array" ref="C4">SUMPRODUCT((MONTH(table_ledger[Month])&lt;=A4)*(table_ledger[Planned_Cost]))</f>
        <v>15802170</v>
      </c>
      <c r="D4" s="12" cm="1">
        <f t="array" ref="D4">SUMPRODUCT((table_ledger[Status]="Posted")*(MONTH(table_ledger[Month])&lt;=A4)*(table_ledger[Actual_Cost]))</f>
        <v>16559394.940000005</v>
      </c>
      <c r="E4" s="12">
        <f t="shared" si="0"/>
        <v>757224.94000000507</v>
      </c>
    </row>
    <row r="5" spans="1:5" x14ac:dyDescent="0.25">
      <c r="A5">
        <v>4</v>
      </c>
      <c r="B5" s="13">
        <v>46136</v>
      </c>
      <c r="C5" s="10" cm="1">
        <f t="array" ref="C5">SUMPRODUCT((MONTH(table_ledger[Month])&lt;=A5)*(table_ledger[Planned_Cost]))</f>
        <v>26242310</v>
      </c>
      <c r="D5" s="12" cm="1">
        <f t="array" ref="D5">SUMPRODUCT((table_ledger[Status]="Posted")*(MONTH(table_ledger[Month])&lt;=A5)*(table_ledger[Actual_Cost]))</f>
        <v>27619420.919999994</v>
      </c>
      <c r="E5" s="12">
        <f>D5-C5</f>
        <v>1377110.9199999943</v>
      </c>
    </row>
    <row r="6" spans="1:5" x14ac:dyDescent="0.25">
      <c r="A6">
        <v>5</v>
      </c>
      <c r="B6" s="13">
        <v>46166</v>
      </c>
      <c r="C6" s="10" cm="1">
        <f t="array" ref="C6">SUMPRODUCT((MONTH(table_ledger[Month])&lt;=A6)*(table_ledger[Planned_Cost]))</f>
        <v>40827510</v>
      </c>
      <c r="D6" s="12" cm="1">
        <f t="array" ref="D6">SUMPRODUCT((table_ledger[Status]="Posted")*(MONTH(table_ledger[Month])&lt;=A6)*(table_ledger[Actual_Cost]))</f>
        <v>43187056.399999984</v>
      </c>
      <c r="E6" s="12">
        <f t="shared" si="0"/>
        <v>2359546.3999999836</v>
      </c>
    </row>
    <row r="7" spans="1:5" x14ac:dyDescent="0.25">
      <c r="A7">
        <v>6</v>
      </c>
      <c r="B7" s="13">
        <v>46197</v>
      </c>
      <c r="C7" s="10" cm="1">
        <f t="array" ref="C7">SUMPRODUCT((MONTH(table_ledger[Month])&lt;=A7)*(table_ledger[Planned_Cost]))</f>
        <v>58918770</v>
      </c>
      <c r="D7" s="12" cm="1">
        <f t="array" ref="D7">SUMPRODUCT((table_ledger[Status]="Posted")*(MONTH(table_ledger[Month])&lt;=A7)*(table_ledger[Actual_Cost]))</f>
        <v>62265060.490000002</v>
      </c>
      <c r="E7" s="12">
        <f t="shared" si="0"/>
        <v>3346290.4900000021</v>
      </c>
    </row>
    <row r="8" spans="1:5" x14ac:dyDescent="0.25">
      <c r="A8">
        <v>7</v>
      </c>
      <c r="B8" s="13">
        <v>46227</v>
      </c>
      <c r="C8" s="10" cm="1">
        <f t="array" ref="C8">SUMPRODUCT((MONTH(table_ledger[Month])&lt;=A8)*(table_ledger[Planned_Cost]))</f>
        <v>79324060</v>
      </c>
      <c r="D8" s="12" cm="1">
        <f t="array" ref="D8">SUMPRODUCT((table_ledger[Status]="Posted")*(MONTH(table_ledger[Month])&lt;=A8)*(table_ledger[Actual_Cost]))</f>
        <v>80251679.560000047</v>
      </c>
      <c r="E8" s="12">
        <f>D8-C8</f>
        <v>927619.56000004709</v>
      </c>
    </row>
    <row r="9" spans="1:5" x14ac:dyDescent="0.25">
      <c r="A9">
        <v>8</v>
      </c>
      <c r="B9" s="13">
        <v>46258</v>
      </c>
      <c r="C9" s="10" cm="1">
        <f t="array" ref="C9">SUMPRODUCT((MONTH(table_ledger[Month])&lt;=A9)*(table_ledger[Planned_Cost]))</f>
        <v>99044320</v>
      </c>
      <c r="D9" s="12" cm="1">
        <f t="array" ref="D9">SUMPRODUCT((table_ledger[Status]="Posted")*(MONTH(table_ledger[Month])&lt;=A9)*(table_ledger[Actual_Cost]))</f>
        <v>90693263.239999965</v>
      </c>
      <c r="E9" s="12">
        <f>D9-C9</f>
        <v>-8351056.7600000352</v>
      </c>
    </row>
    <row r="10" spans="1:5" x14ac:dyDescent="0.25">
      <c r="A10">
        <v>9</v>
      </c>
      <c r="B10" s="13">
        <v>46289</v>
      </c>
      <c r="C10" s="10" cm="1">
        <f t="array" ref="C10">SUMPRODUCT((MONTH(table_ledger[Month])&lt;=A10)*(table_ledger[Planned_Cost]))</f>
        <v>117603560</v>
      </c>
      <c r="D10" s="12" cm="1">
        <f t="array" ref="D10">SUMPRODUCT((table_ledger[Status]="Posted")*(MONTH(table_ledger[Month])&lt;=A10)*(table_ledger[Actual_Cost]))</f>
        <v>94971163.709999979</v>
      </c>
      <c r="E10" s="12">
        <f t="shared" si="0"/>
        <v>-22632396.290000021</v>
      </c>
    </row>
    <row r="11" spans="1:5" x14ac:dyDescent="0.25">
      <c r="A11">
        <v>10</v>
      </c>
      <c r="B11" s="13">
        <v>46319</v>
      </c>
      <c r="C11" s="10" cm="1">
        <f t="array" ref="C11">SUMPRODUCT((MONTH(table_ledger[Month])&lt;=A11)*(table_ledger[Planned_Cost]))</f>
        <v>132605740</v>
      </c>
      <c r="D11" s="12" cm="1">
        <f t="array" ref="D11">SUMPRODUCT((table_ledger[Status]="Posted")*(MONTH(table_ledger[Month])&lt;=A11)*(table_ledger[Actual_Cost]))</f>
        <v>94971163.709999979</v>
      </c>
      <c r="E11" s="12">
        <f>D11-C11</f>
        <v>-37634576.290000021</v>
      </c>
    </row>
    <row r="12" spans="1:5" x14ac:dyDescent="0.25">
      <c r="A12">
        <v>11</v>
      </c>
      <c r="B12" s="13">
        <v>46350</v>
      </c>
      <c r="C12" s="10" cm="1">
        <f t="array" ref="C12">SUMPRODUCT((MONTH(table_ledger[Month])&lt;=A12)*(table_ledger[Planned_Cost]))</f>
        <v>144841880</v>
      </c>
      <c r="D12" s="12" cm="1">
        <f t="array" ref="D12">SUMPRODUCT((table_ledger[Status]="Posted")*(MONTH(table_ledger[Month])&lt;=A12)*(table_ledger[Actual_Cost]))</f>
        <v>94971163.709999979</v>
      </c>
      <c r="E12" s="12">
        <f t="shared" si="0"/>
        <v>-49870716.290000021</v>
      </c>
    </row>
    <row r="13" spans="1:5" x14ac:dyDescent="0.25">
      <c r="A13">
        <v>12</v>
      </c>
      <c r="B13" s="13">
        <v>46380</v>
      </c>
      <c r="C13" s="10" cm="1">
        <f t="array" ref="C13">SUMPRODUCT((MONTH(table_ledger[Month])&lt;=A13)*(table_ledger[Planned_Cost]))</f>
        <v>155402000</v>
      </c>
      <c r="D13" s="12" cm="1">
        <f t="array" ref="D13">SUMPRODUCT((table_ledger[Status]="Posted")*(MONTH(table_ledger[Month])&lt;=A13)*(table_ledger[Actual_Cost]))</f>
        <v>94971163.709999979</v>
      </c>
      <c r="E13" s="12">
        <f t="shared" si="0"/>
        <v>-60430836.290000021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1EC9251F788D41B3267EEE0C56E80B" ma:contentTypeVersion="5" ma:contentTypeDescription="Create a new document." ma:contentTypeScope="" ma:versionID="0d18ccc782bcd0b4c9e7f67637fb3bed">
  <xsd:schema xmlns:xsd="http://www.w3.org/2001/XMLSchema" xmlns:xs="http://www.w3.org/2001/XMLSchema" xmlns:p="http://schemas.microsoft.com/office/2006/metadata/properties" xmlns:ns3="a61dde62-9e56-43d4-b294-12758f8775f2" targetNamespace="http://schemas.microsoft.com/office/2006/metadata/properties" ma:root="true" ma:fieldsID="f683a911db940a1494c920f854ebf79a" ns3:_="">
    <xsd:import namespace="a61dde62-9e56-43d4-b294-12758f8775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1dde62-9e56-43d4-b294-12758f8775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0D4605-1CCC-413D-9E24-6FCF77156A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E469C4-F74D-42F6-938F-D267F29B2E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1dde62-9e56-43d4-b294-12758f8775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B2B4E9-B2E1-4D32-9705-9F064289E778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www.w3.org/XML/1998/namespace"/>
    <ds:schemaRef ds:uri="a61dde62-9e56-43d4-b294-12758f8775f2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Budget_Register</vt:lpstr>
      <vt:lpstr>Monthly_summary</vt:lpstr>
      <vt:lpstr>Executive_Summary</vt:lpstr>
      <vt:lpstr>SCurve_Chart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Chinthareddy</dc:creator>
  <cp:lastModifiedBy>Akshaya Chinthareddy</cp:lastModifiedBy>
  <dcterms:created xsi:type="dcterms:W3CDTF">2026-04-09T22:57:32Z</dcterms:created>
  <dcterms:modified xsi:type="dcterms:W3CDTF">2026-04-10T21:06:31Z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0x0101004B1EC9251F788D41B3267EEE0C56E80B</vt:lpwstr>
  </property>
</Properties>
</file>